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ealvalpvtltd-my.sharepoint.com/personal/dmoondra_therealval_com/Documents/Creative RE/1. UW/Templates/"/>
    </mc:Choice>
  </mc:AlternateContent>
  <xr:revisionPtr revIDLastSave="225" documentId="11_BFAE725B7DD19B7B03EE068F68BEDCBF7609D5BA" xr6:coauthVersionLast="47" xr6:coauthVersionMax="47" xr10:uidLastSave="{65C5EF6D-41BC-4CC4-9546-79AD5E41A794}"/>
  <bookViews>
    <workbookView xWindow="-110" yWindow="-110" windowWidth="19420" windowHeight="10300" tabRatio="500" activeTab="1" xr2:uid="{00000000-000D-0000-FFFF-FFFF00000000}"/>
  </bookViews>
  <sheets>
    <sheet name="Market Score Scorecard" sheetId="1" r:id="rId1"/>
    <sheet name="Anchors and 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7" i="1" l="1"/>
  <c r="E46" i="1" s="1"/>
  <c r="G46" i="1" s="1"/>
  <c r="D46" i="1"/>
  <c r="D45" i="1"/>
  <c r="D44" i="1"/>
  <c r="D43" i="1"/>
  <c r="D42" i="1"/>
  <c r="C47" i="1"/>
  <c r="E37" i="1"/>
  <c r="C37" i="1"/>
  <c r="F36" i="1"/>
  <c r="F35" i="1"/>
  <c r="F32" i="1"/>
  <c r="F31" i="1"/>
  <c r="F30" i="1"/>
  <c r="F29" i="1"/>
  <c r="F26" i="1"/>
  <c r="F25" i="1"/>
  <c r="F24" i="1"/>
  <c r="E33" i="1"/>
  <c r="E27" i="1"/>
  <c r="E22" i="1"/>
  <c r="F21" i="1"/>
  <c r="F20" i="1"/>
  <c r="F19" i="1"/>
  <c r="F18" i="1"/>
  <c r="F17" i="1"/>
  <c r="E15" i="1"/>
  <c r="F14" i="1"/>
  <c r="F13" i="1"/>
  <c r="F12" i="1"/>
  <c r="F11" i="1"/>
  <c r="F10" i="1"/>
  <c r="F15" i="1"/>
  <c r="E42" i="1" s="1"/>
  <c r="G42" i="1" s="1"/>
  <c r="H15" i="1" l="1"/>
  <c r="F33" i="1" l="1"/>
  <c r="E45" i="1" s="1"/>
  <c r="G45" i="1" s="1"/>
  <c r="C33" i="1"/>
  <c r="H37" i="1" s="1"/>
  <c r="F46" i="1" s="1"/>
  <c r="F27" i="1"/>
  <c r="E44" i="1" s="1"/>
  <c r="G44" i="1" s="1"/>
  <c r="C27" i="1"/>
  <c r="F22" i="1"/>
  <c r="E43" i="1" s="1"/>
  <c r="G43" i="1" s="1"/>
  <c r="C22" i="1"/>
  <c r="C15" i="1"/>
  <c r="C4" i="1"/>
  <c r="D243" i="2"/>
  <c r="C243" i="2"/>
  <c r="D219" i="2"/>
  <c r="C219" i="2"/>
  <c r="D196" i="2"/>
  <c r="C196" i="2"/>
  <c r="D117" i="2"/>
  <c r="C117" i="2"/>
  <c r="C66" i="2"/>
  <c r="D67" i="2" s="1"/>
  <c r="D50" i="2"/>
  <c r="C50" i="2"/>
  <c r="D33" i="2"/>
  <c r="C33" i="2"/>
  <c r="D10" i="2"/>
  <c r="C10" i="2"/>
  <c r="H33" i="1" l="1"/>
  <c r="F45" i="1" s="1"/>
  <c r="H27" i="1"/>
  <c r="F44" i="1" s="1"/>
  <c r="C51" i="1"/>
  <c r="H22" i="1"/>
  <c r="F43" i="1" s="1"/>
  <c r="F42" i="1"/>
  <c r="F47" i="1" s="1"/>
  <c r="G47" i="1" s="1"/>
  <c r="C67" i="2"/>
</calcChain>
</file>

<file path=xl/sharedStrings.xml><?xml version="1.0" encoding="utf-8"?>
<sst xmlns="http://schemas.openxmlformats.org/spreadsheetml/2006/main" count="632" uniqueCount="413">
  <si>
    <t>Market / Submarket</t>
  </si>
  <si>
    <t>Date</t>
  </si>
  <si>
    <t>Niche proven (only needed if supply pressure is high and competitive positioning is scored very high)</t>
  </si>
  <si>
    <t>No</t>
  </si>
  <si>
    <t>CATEGORY SUMMARY</t>
  </si>
  <si>
    <t>Category</t>
  </si>
  <si>
    <t>Weightage</t>
  </si>
  <si>
    <t>Score</t>
  </si>
  <si>
    <t>Consistency flags</t>
  </si>
  <si>
    <t>*State any</t>
  </si>
  <si>
    <t>Supply pressure vs competitive positioning rule</t>
  </si>
  <si>
    <t>SUBCATEGORY DETAIL SCORING</t>
  </si>
  <si>
    <t>Reviewed</t>
  </si>
  <si>
    <t>Employment and wage base</t>
  </si>
  <si>
    <t>Yes</t>
  </si>
  <si>
    <t>Household growth and in-migration</t>
  </si>
  <si>
    <t>Net absorption and occupancy trend</t>
  </si>
  <si>
    <t>Bad Debts</t>
  </si>
  <si>
    <t>Affordability trajectory</t>
  </si>
  <si>
    <t>Total Score</t>
  </si>
  <si>
    <t>Pipeline volume relative to inventory</t>
  </si>
  <si>
    <t>Pipeline timing concentration</t>
  </si>
  <si>
    <t>Lease-up pace of new deliveries</t>
  </si>
  <si>
    <t>Vacancy and concessions trend</t>
  </si>
  <si>
    <t>Barriers to entry</t>
  </si>
  <si>
    <t>Property tax reassessment cadence</t>
  </si>
  <si>
    <t>Insurance volatility and catastrophe exposure</t>
  </si>
  <si>
    <t>Utilities volatility</t>
  </si>
  <si>
    <t>Effective rent comparable grid</t>
  </si>
  <si>
    <t>Micro-location advantages</t>
  </si>
  <si>
    <t>Product and amenity differentiation</t>
  </si>
  <si>
    <t>Replacement cost gap</t>
  </si>
  <si>
    <t>Transaction liquidity and buyer depth</t>
  </si>
  <si>
    <t>Market Rating (Secondary, tertiary etc)</t>
  </si>
  <si>
    <t>A. Demand strength   |   Category Weight: 30%</t>
  </si>
  <si>
    <t>1. Employment &amp; Wage Base  (Sub-weight: 30%)</t>
  </si>
  <si>
    <t>Metric</t>
  </si>
  <si>
    <t>Weight</t>
  </si>
  <si>
    <t>Job Growth</t>
  </si>
  <si>
    <t>Local Unemployment Rate</t>
  </si>
  <si>
    <t>Wage Growth vs Rent Growth</t>
  </si>
  <si>
    <t>Composite Score (weighted avg)</t>
  </si>
  <si>
    <t>Job Growth (YoY)</t>
  </si>
  <si>
    <t>Interpretation</t>
  </si>
  <si>
    <t>≥ 2.0%</t>
  </si>
  <si>
    <t>Strong employment formation. Wage and income growth supporting renter demand.</t>
  </si>
  <si>
    <t>Source:</t>
  </si>
  <si>
    <t>1.0% to &lt; 2.0%</t>
  </si>
  <si>
    <t>Healthy job growth. Market expanding; demand fundamentals solid.</t>
  </si>
  <si>
    <t>0.0% to &lt; 1.0%</t>
  </si>
  <si>
    <t>Flat employment. Stable but no tailwind; demand growth muted.</t>
  </si>
  <si>
    <t>–1.0% to &lt; 0.0%</t>
  </si>
  <si>
    <t>Job losses beginning. Demand softening; watch collection trends closely.</t>
  </si>
  <si>
    <t>&lt; –1.0%</t>
  </si>
  <si>
    <t>Meaningful job loss. Renter demand contracting; elevated vacancy risk.</t>
  </si>
  <si>
    <t>≤ 4.0%</t>
  </si>
  <si>
    <t>Near-full employment. Labor market tight; tenant income and payment reliability strong.</t>
  </si>
  <si>
    <t>Healthy labor market. Unemployment contained; minimal income stress expected.</t>
  </si>
  <si>
    <t>Moderate unemployment. Some tenant financial stress possible; monitor collections.</t>
  </si>
  <si>
    <t>Elevated unemployment. Income pressure likely; higher concession and collection risk.</t>
  </si>
  <si>
    <t>High unemployment. Tenant affordability strained; demand deteriorating.</t>
  </si>
  <si>
    <t>Wage growth ≥ rent growth</t>
  </si>
  <si>
    <t>Rents tracking or lagging income growth. Affordability stable; no displacement risk.</t>
  </si>
  <si>
    <t>Wage growth slightly below rents</t>
  </si>
  <si>
    <t>Wages nearly keeping pace. Modest affordability compression; manageable near-term.</t>
  </si>
  <si>
    <t>Wage growth moderately below rents</t>
  </si>
  <si>
    <t>Affordability gradually eroding. Monitor rent concession pressure at renewals.</t>
  </si>
  <si>
    <t>Wage growth materially below rents</t>
  </si>
  <si>
    <t>Significant affordability gap building. Elevated turnover; concessions likely needed.</t>
  </si>
  <si>
    <t>Wage growth far below rents</t>
  </si>
  <si>
    <t>Rents unsustainable relative to incomes. Demand destruction and concession cycle likely.</t>
  </si>
  <si>
    <t>2. Household Growth &amp; In-Migration  (Sub-weight: 25%)</t>
  </si>
  <si>
    <t>Household Growth</t>
  </si>
  <si>
    <t>Population Growth</t>
  </si>
  <si>
    <t>Household Growth (YoY)</t>
  </si>
  <si>
    <t>≥ 1.5%</t>
  </si>
  <si>
    <t>Strong household formation. Structural demand growing; market absorbing supply.</t>
  </si>
  <si>
    <t>0.8% to &lt; 1.5%</t>
  </si>
  <si>
    <t>Solid household growth. Demand expanding above replacement; healthy absorption pace.</t>
  </si>
  <si>
    <t>0.0% to &lt; 0.8%</t>
  </si>
  <si>
    <t>Marginal growth. Demand flat to mildly positive; absorption moderate.</t>
  </si>
  <si>
    <t>–0.5% to &lt; 0.0%</t>
  </si>
  <si>
    <t>Household contraction. Demand shrinking; monitor vacancy and lease-up pace.</t>
  </si>
  <si>
    <t>&lt; –0.5%</t>
  </si>
  <si>
    <t>Declining households. Structural headwind; market likely trending toward oversupply.</t>
  </si>
  <si>
    <t>Population Growth (YoY)</t>
  </si>
  <si>
    <t>High in-migration. Population expanding rapidly; long-run demand well-supported.</t>
  </si>
  <si>
    <t>Healthy population growth. Steady in-migration adding to renter pool.</t>
  </si>
  <si>
    <t>Flat population. Growth limited; demand driven by formation, not migration.</t>
  </si>
  <si>
    <t>Population loss. Renter pool shrinking; limited absorption capacity.</t>
  </si>
  <si>
    <t>Significant out-migration. Structural decline; fundamental demand headwind.</t>
  </si>
  <si>
    <t>3. Net Absorption &amp; Occupancy Trend  (Sub-weight: 25%)</t>
  </si>
  <si>
    <t>Absorption Trend</t>
  </si>
  <si>
    <t>Vacancy Rate</t>
  </si>
  <si>
    <t>Net Absorption (% of Inventory, YoY)</t>
  </si>
  <si>
    <t>≥ +4.0%</t>
  </si>
  <si>
    <t>Exceptional absorption. Market tightening; landlords retaining strong pricing power.</t>
  </si>
  <si>
    <t>+2.0% to &lt; +4.0%</t>
  </si>
  <si>
    <t>Strong absorption. Supply being digested efficiently; vacancy declining.</t>
  </si>
  <si>
    <t>–0.5% to &lt; +2.0%</t>
  </si>
  <si>
    <t>Marginal absorption. Market roughly in balance; watch for softening trend.</t>
  </si>
  <si>
    <t>–2.0% to &lt; –0.5%</t>
  </si>
  <si>
    <t>Negative absorption. Vacancy rising; concession pressure building.</t>
  </si>
  <si>
    <t>&lt; –2.0%</t>
  </si>
  <si>
    <t>Severe negative absorption. Market in correction; rents and occupancy both at risk.</t>
  </si>
  <si>
    <t>Occupancy%</t>
  </si>
  <si>
    <t>≥ 97.0%</t>
  </si>
  <si>
    <t>Full occupancy. Maximum pricing power; concessions minimal.</t>
  </si>
  <si>
    <t>95.0% to &lt; 97.0%</t>
  </si>
  <si>
    <t>Strong occupancy. Market healthy; rent growth supported, concessions minimal.</t>
  </si>
  <si>
    <t>92.0% to &lt; 95.0%</t>
  </si>
  <si>
    <t>Stabilized but softening. Some concession usage required to maintain occupancy.</t>
  </si>
  <si>
    <t>90.0% to &lt; 92.0%</t>
  </si>
  <si>
    <t>Below stabilized. Meaningful concession drag on effective revenue.</t>
  </si>
  <si>
    <t>&lt; 90.0%</t>
  </si>
  <si>
    <t>Distressed occupancy. Significant revenue shortfall; operations under stress.</t>
  </si>
  <si>
    <t>4. Bad Debts  (Sub-weight: 5%)</t>
  </si>
  <si>
    <t>Bad Debt (% of GPR)</t>
  </si>
  <si>
    <t>Bad Debts Trend</t>
  </si>
  <si>
    <t>≤ 0.5%</t>
  </si>
  <si>
    <t>Excellent collections. Negligible bad debt; tenant quality and lease enforcement are strong.</t>
  </si>
  <si>
    <t>Normal range. Minor bad debt losses are standard; no systemic collections issue.</t>
  </si>
  <si>
    <t>Elevated but manageable. Collections need active monitoring to protect NOI.</t>
  </si>
  <si>
    <t>High bad debt. Meaningful revenue loss; collections process or tenant quality needs improvement.</t>
  </si>
  <si>
    <t>Severe collections problem. NOI materially impaired; likely signals deeper credit or management issues.</t>
  </si>
  <si>
    <t>T-3 &lt; T-6 &lt; T-12</t>
  </si>
  <si>
    <t>Accelerating improvement across all periods</t>
  </si>
  <si>
    <t>T-3 &lt; T-6 = T-12</t>
  </si>
  <si>
    <t>Recent improvement with prior stability</t>
  </si>
  <si>
    <t>T-3 = T-6 = T-12</t>
  </si>
  <si>
    <t>Flat across all periods/mixed signals</t>
  </si>
  <si>
    <t xml:space="preserve">T-3 &gt; T-6 = T-12 </t>
  </si>
  <si>
    <t>Recent decline with prior stability</t>
  </si>
  <si>
    <t xml:space="preserve">T-3 &gt; T-6 &gt; T-12 </t>
  </si>
  <si>
    <t>Accelerating deterioration across all periods</t>
  </si>
  <si>
    <t>5. Affordability Trajectory  (Sub-weight: 15%)</t>
  </si>
  <si>
    <t>Rent-to-Income Ratio</t>
  </si>
  <si>
    <t>≤ 23%</t>
  </si>
  <si>
    <t>Strong affordability. Tenants well within standard norms; low distress and turnover risk.</t>
  </si>
  <si>
    <t>23% to &lt; 30%</t>
  </si>
  <si>
    <t>Healthy affordability. Rent is manageable; tenants can absorb modest increases without stress.</t>
  </si>
  <si>
    <t>Formula: Rent/Income</t>
  </si>
  <si>
    <t>30% to &lt; 33%</t>
  </si>
  <si>
    <t>At the affordability threshold. Tenants are stretched; sensitive to income shocks or rent increases.</t>
  </si>
  <si>
    <t>33% to &lt; 40%</t>
  </si>
  <si>
    <t>Affordability strained. Elevated turnover and concession risk as tenant budgets tighten.</t>
  </si>
  <si>
    <t>≥ 40%</t>
  </si>
  <si>
    <t>Tenants overspending on rent. Fragile — economic stress triggers rapid occupancy decline.</t>
  </si>
  <si>
    <t>B. Supply pressure   |   Category Weight: 25%</t>
  </si>
  <si>
    <t>1. Pipeline volume relative to inventory  (Sub-weight: 40%)</t>
  </si>
  <si>
    <t>Pipeline-to-Inventory Ratio (24 months)</t>
  </si>
  <si>
    <t>&lt; 1.5%</t>
  </si>
  <si>
    <t>Negligible new supply. Existing properties have pricing power.</t>
  </si>
  <si>
    <t>1.5% to &lt; 3.0%</t>
  </si>
  <si>
    <t>Present but manageable. Market can absorb with healthy demand.</t>
  </si>
  <si>
    <t>Formula: Deliveries in the next 24 months / Current Inventory</t>
  </si>
  <si>
    <t>3.0% to &lt; 5.0%</t>
  </si>
  <si>
    <t>Meaningful supply. Absorption must be monitored.</t>
  </si>
  <si>
    <t>5.0% to &lt; 8.0%</t>
  </si>
  <si>
    <t>Heavy supply. High probability of concession pressure.</t>
  </si>
  <si>
    <t>≥ 8.0%</t>
  </si>
  <si>
    <t>Oversupplied. Near-certainty of concession wars and rent pressure.</t>
  </si>
  <si>
    <t>2. Pipeline timing concentration  (Sub-weight: 10%)</t>
  </si>
  <si>
    <t>% of 24-month Deliveries in Worst 2 Adjacent Quarters</t>
  </si>
  <si>
    <t>&lt; 20%</t>
  </si>
  <si>
    <t>Well spread. Market absorbs gradually. No demand shock.</t>
  </si>
  <si>
    <t>20% to &lt; 35%</t>
  </si>
  <si>
    <t>Mild clustering. Manageable if demand is steady.</t>
  </si>
  <si>
    <t>Formula: Max(Sum total supply in 2 adjacent quarters) / Deliveries in the next 24 months</t>
  </si>
  <si>
    <t>35% to &lt; 50%</t>
  </si>
  <si>
    <t>Moderate clustering. Temporary absorption pressure possible.</t>
  </si>
  <si>
    <t>50% to &lt; 75%</t>
  </si>
  <si>
    <t>Heavy clustering. Near-certain temporary oversupply in that period.</t>
  </si>
  <si>
    <t>≥ 75%</t>
  </si>
  <si>
    <t>Nearly all supply arrives at once. Severe temporary oversupply.</t>
  </si>
  <si>
    <t>3. Lease-up pace of new deliveries  (Sub-weight: 25%)</t>
  </si>
  <si>
    <t>Months to 90% Occupancy</t>
  </si>
  <si>
    <t>≤ 6 months</t>
  </si>
  <si>
    <t>Demand absorbing supply quickly. No extended competitive pressure.</t>
  </si>
  <si>
    <t>7 to &lt; 10 months</t>
  </si>
  <si>
    <t>Normal pace. Competitive pressure is time-limited.</t>
  </si>
  <si>
    <t>Reference: How much time it takes a newly delivered property to reach 90% occupancy.</t>
  </si>
  <si>
    <t>10 to &lt; 13 months</t>
  </si>
  <si>
    <t>Slower than normal. Competing on price for extended period.</t>
  </si>
  <si>
    <t>13 to &lt; 19 months</t>
  </si>
  <si>
    <t>Slow lease-ups bleeding concessions for 12+ months.</t>
  </si>
  <si>
    <t>≥ 19 months</t>
  </si>
  <si>
    <t>Demand cannot absorb supply. Extended concession wars near-certain.</t>
  </si>
  <si>
    <t>4. Vacancy and concessions trend  (Sub-weight: 15%)</t>
  </si>
  <si>
    <t>Submarket Vacancy Rate</t>
  </si>
  <si>
    <t>Submarket Vacancy Rate Trend</t>
  </si>
  <si>
    <t>Submarket Vacancy Rate Forecast</t>
  </si>
  <si>
    <t>Submarket Concessions Rate</t>
  </si>
  <si>
    <t>Submarket Concessions Rate Trend</t>
  </si>
  <si>
    <t>Submarket Concessions Rate Forecast</t>
  </si>
  <si>
    <t>≤ 5.0%</t>
  </si>
  <si>
    <t>Tight submarket. Strong absorption; landlords retain pricing power across the competitive set.</t>
  </si>
  <si>
    <t>Healthy vacancy. Market in equilibrium; normal leasing dynamics with stable rent levels.</t>
  </si>
  <si>
    <t>Loosening market. Concession pressure beginning to build; rent growth is moderating.</t>
  </si>
  <si>
    <t>Elevated vacancy. Landlords competing on price; rent growth impaired and concessions expected.</t>
  </si>
  <si>
    <t>&gt; 8.5%</t>
  </si>
  <si>
    <t>Oversupplied submarket. Rents under sustained downward pressure; leasing highly competitive.</t>
  </si>
  <si>
    <t>Vacancy Rate Trend</t>
  </si>
  <si>
    <t>Vacancy Rate Forecast</t>
  </si>
  <si>
    <t>Concessions (% of GPR)</t>
  </si>
  <si>
    <t>Virtually no concessions. Market is at full strength; effective rents equal face rents.</t>
  </si>
  <si>
    <t>Minimal concessions. Normal market conditions; negligible drag on effective rent.</t>
  </si>
  <si>
    <t>Moderate concessions. Some competitive pressure present; underwrite effective rent below face.</t>
  </si>
  <si>
    <t>Heavy concessions. Material drag on effective revenue; requires significant operational improvement.</t>
  </si>
  <si>
    <t>Severe concession environment. Effective rents are materially below asking; market in distress.</t>
  </si>
  <si>
    <t>Concessions Rate Trend</t>
  </si>
  <si>
    <t>Concessions Rate Forecast</t>
  </si>
  <si>
    <t>Negligible concessions market-wide. Full rent achievement expected with no give-backs.</t>
  </si>
  <si>
    <t>Minor market concessions. Broadly negligible; effective rents close to asking.</t>
  </si>
  <si>
    <t>Moderate concession environment. Effective rents below asking; must underwrite accordingly.</t>
  </si>
  <si>
    <t>Heavy concession activity. Meaningful drag on effective rents across the submarket.</t>
  </si>
  <si>
    <t>Submarket in concession distress. Effective rents materially below face; pricing war conditions.</t>
  </si>
  <si>
    <t>5. Barriers to entry  (Sub-weight: 10%)</t>
  </si>
  <si>
    <t>New supply hard to entitle and expensive to build; land constrained; replacement cost well above achievable rents</t>
  </si>
  <si>
    <t>High moat. New supply economically or politically unfeasible; existing assets well-protected.</t>
  </si>
  <si>
    <t>Moderate barriers; timelines and costs inhibit rapid new supply</t>
  </si>
  <si>
    <t>Meaningful deterrent. Supply can eventually materialize but timeline is extended.</t>
  </si>
  <si>
    <t>Average barriers; supply can respond over time</t>
  </si>
  <si>
    <t>Neutral. Supply response likely on a 2–3 year horizon if demand warrants.</t>
  </si>
  <si>
    <t>Low barriers; land available and approvals relatively easy</t>
  </si>
  <si>
    <t>Permeable. New supply can arrive quickly; concession pressure likely if demand softens.</t>
  </si>
  <si>
    <t>Very low barriers; supply can surge quickly</t>
  </si>
  <si>
    <t>No moat. Market easily flooded; oversupply risk is real and near-term.</t>
  </si>
  <si>
    <t>C. Operating cost volatility   |   Category Weight: 15%</t>
  </si>
  <si>
    <t>1. Property Tax Volatility  (Sub-weight: 40%)</t>
  </si>
  <si>
    <t>Tax Behavior</t>
  </si>
  <si>
    <t>Stable and predictable</t>
  </si>
  <si>
    <t>Taxes trend with inflation; no appeal or reassessment risk</t>
  </si>
  <si>
    <t>Largely predictable with minor variability</t>
  </si>
  <si>
    <t>Limited exposure; manageable with standard underwriting buffer</t>
  </si>
  <si>
    <t>Unpredictable; active or likely appeal</t>
  </si>
  <si>
    <t>Outcome uncertain; proforma assumption carries execution risk</t>
  </si>
  <si>
    <t>Thesis dependent on tax abatement</t>
  </si>
  <si>
    <t>Abatement not guaranteed; significant downside if not awarded or renewed</t>
  </si>
  <si>
    <t>Reassessment likely; outcome highly uncertain</t>
  </si>
  <si>
    <t>Tax burden difficult to underwrite; material risk to NOI</t>
  </si>
  <si>
    <t>2. Insurance Volatility  (Sub-weight: 40%)</t>
  </si>
  <si>
    <t>Insurance Volatility</t>
  </si>
  <si>
    <t>Source: Third party sources</t>
  </si>
  <si>
    <t>Stable premiums with quotes; low catastrophe exposure; &lt; 5% annual increase</t>
  </si>
  <si>
    <t>Predictable and competitive. No surprise risk.</t>
  </si>
  <si>
    <t>5–10% annual increases; standard terms; manageable deductibles</t>
  </si>
  <si>
    <t>Functional market. Budget moderate increases and plan works.</t>
  </si>
  <si>
    <t>10–20% annual increases or higher deductibles; market tightening</t>
  </si>
  <si>
    <t>Climbing. Budget aggressively and monitor.</t>
  </si>
  <si>
    <t>20%+ annual swings or limited carriers; high deductibles; CAT exposure</t>
  </si>
  <si>
    <t>Volatile. Budget +15–25% stress for years 2–3.</t>
  </si>
  <si>
    <t>Severe exposure or placement difficulty; quotes hard to obtain</t>
  </si>
  <si>
    <t>Insurance is a deal risk in itself. May trigger red-line override.</t>
  </si>
  <si>
    <t>3. Utilities Volatility  (Sub-weight: 20%)</t>
  </si>
  <si>
    <t>Utilities Volatility</t>
  </si>
  <si>
    <t>Stable rates and trend; predictable.</t>
  </si>
  <si>
    <t>Stable cost base. Utility line predictable; minimal stress buffer required in underwriting.</t>
  </si>
  <si>
    <t>Mild upward trend; manageable.</t>
  </si>
  <si>
    <t>Minor upward pressure. Budget modest 3–5% annual increase; manageable.</t>
  </si>
  <si>
    <t>Moderate upward trend; some unpredictability.</t>
  </si>
  <si>
    <t>Creeping costs. Budget aggressively; factor rate volatility into underwriting.</t>
  </si>
  <si>
    <t>High volatility or sharp upward trend; meaningful risk of variance.</t>
  </si>
  <si>
    <t>Meaningful utility risk. Evaluate submetering or RUBS to offset upward cost pressure.</t>
  </si>
  <si>
    <t>Severe volatility with limited mitigation ability.</t>
  </si>
  <si>
    <t>Utility is a deal risk. Costs unpredictable and hard to recover; NOI materially exposed.</t>
  </si>
  <si>
    <t>D. Competitive positioning   |   Category Weight: 15%</t>
  </si>
  <si>
    <t>1. Effective rent comparable grid  (Sub-weight: 35%)</t>
  </si>
  <si>
    <t>Rent Variance (%)</t>
  </si>
  <si>
    <t>≥ +20%</t>
  </si>
  <si>
    <t>Significant upside embedded. Subject rents materially below market; strong rent growth runway.</t>
  </si>
  <si>
    <t>+10% to &lt; +20%</t>
  </si>
  <si>
    <t>Meaningful below-market discount. Clear rent growth potential without needing to outperform market.</t>
  </si>
  <si>
    <t>Rule: Identify premium or discount relative to the market rents and gives reward accordingly.</t>
  </si>
  <si>
    <t>0% to &lt; +10%</t>
  </si>
  <si>
    <t>Rents at or near market. Modest organic growth; limited upside without amenity premium.</t>
  </si>
  <si>
    <t>Formula: (Market Rent-Effective Rent)/Market Rent. We use market rent as a base because we can say that subject property rents are 20% below the market rents and market rents act as a baseline.</t>
  </si>
  <si>
    <t>–10% to &lt; 0%</t>
  </si>
  <si>
    <t>Rents slightly above market. Concession risk at renewal; near-term growth limited.</t>
  </si>
  <si>
    <t>&lt; –10%</t>
  </si>
  <si>
    <t>Rents materially above market. Renewal concessions probable; effective rent compression likely.</t>
  </si>
  <si>
    <t>2. Micro-location advantages  (Sub-weight: 25%)</t>
  </si>
  <si>
    <t>Retail &amp; Residential</t>
  </si>
  <si>
    <t>School Ratings</t>
  </si>
  <si>
    <t>Recreational Amenities</t>
  </si>
  <si>
    <t>Retail anchor</t>
  </si>
  <si>
    <t>Residential density</t>
  </si>
  <si>
    <t>Established residential node with daily-needs retail</t>
  </si>
  <si>
    <t>Retail-supported area but limited nearby housing</t>
  </si>
  <si>
    <t>Rule: Inputs checked (Yes / No):</t>
  </si>
  <si>
    <t>Residential cluster exists but limited retail convenience</t>
  </si>
  <si>
    <t>1. Retail anchor nearby (Walmart / Target / Costco / major grocery within 3 miles)</t>
  </si>
  <si>
    <t>Some development nearby but not a clear residential node</t>
  </si>
  <si>
    <t>2. Residential density (multiple apartment communities or large residential neighborhoods nearby)</t>
  </si>
  <si>
    <t>Isolated location with minimal surrounding activity</t>
  </si>
  <si>
    <t>Assigned School Ratings</t>
  </si>
  <si>
    <t>All assigned schools rated 8–10</t>
  </si>
  <si>
    <t>Top-rated schools. Strong family demand driver; supports premium positioning.</t>
  </si>
  <si>
    <t>Majority of assigned schools rated 6–7</t>
  </si>
  <si>
    <t>Good schools. Positive draw for quality tenants; moderate competitive advantage.</t>
  </si>
  <si>
    <t>Majority rated 4–5</t>
  </si>
  <si>
    <t>Average schools. Neutral factor; tenant demand not driven by school quality.</t>
  </si>
  <si>
    <t>Majority rated 2–3</t>
  </si>
  <si>
    <t>Below-average schools. Potential deterrent for families; limits upside in tenant profile.</t>
  </si>
  <si>
    <t>Majority rated ≤2</t>
  </si>
  <si>
    <t>Poor schools. Demand headwind for family cohort; competitive disadvantage.</t>
  </si>
  <si>
    <t>Recreational Amenity Presence</t>
  </si>
  <si>
    <t>Major park, trail system, or multiple high-quality public amenities nearby</t>
  </si>
  <si>
    <t>Premium lifestyle appeal. Strong draws for active renters; supports rent premium.</t>
  </si>
  <si>
    <t>At least one meaningful public recreational amenity nearby</t>
  </si>
  <si>
    <t>Good amenity access. Supports tenant quality of life; modest positive demand driver.</t>
  </si>
  <si>
    <t>Amenities includes: Public parks, Trails / greenways, Playgrounds, Sports fields / courts, Waterfront access (lake, riverwalk, beach), Public recreation or community centers</t>
  </si>
  <si>
    <t>Limited recreational options (small park or basic facilities)</t>
  </si>
  <si>
    <t>Average access. Neutral; does not meaningfully differentiate the location.</t>
  </si>
  <si>
    <t>Minimal or low-quality recreational presence</t>
  </si>
  <si>
    <t>Below average. Modest negative relative to better-amenitized alternatives.</t>
  </si>
  <si>
    <t>No meaningful public recreational amenities</t>
  </si>
  <si>
    <t>No lifestyle draw. Amenity deficit is a competitive disadvantage.</t>
  </si>
  <si>
    <t>3. Product and amenity differentiation  (Sub-weight: 25%)</t>
  </si>
  <si>
    <t>Finishes</t>
  </si>
  <si>
    <t>Amenities</t>
  </si>
  <si>
    <t>Rule (subject vs comp finishes)</t>
  </si>
  <si>
    <t>Subject is better on 4–5 elements vs most comps</t>
  </si>
  <si>
    <t>Superior product. Clear competitive advantage; supports premium rents and lower concessions.</t>
  </si>
  <si>
    <t>Subject is better on ~3 elements, similar on the rest</t>
  </si>
  <si>
    <t>Above-average product. Meaningful edge over most comps; pricing power supported.</t>
  </si>
  <si>
    <t>Subject is mostly similar to comps (no clear edge or weakness)</t>
  </si>
  <si>
    <t>Commodity product. Compete on price and service; no physical differentiation advantage.</t>
  </si>
  <si>
    <t>Subject is worse on ~3 elements vs comps</t>
  </si>
  <si>
    <t>Below-average product. Concessions or price discounts needed to retain occupancy.</t>
  </si>
  <si>
    <t>Subject is worse on 4–5 elements vs comps</t>
  </si>
  <si>
    <t>Inferior product. Structural disadvantage; heavy discounting and concessions required.</t>
  </si>
  <si>
    <t>Amenities vs comps</t>
  </si>
  <si>
    <t>Clearly better amenity package than most comps</t>
  </si>
  <si>
    <t>Premium amenities. Clear draw vs alternatives; supports rent premium and tenant retention.</t>
  </si>
  <si>
    <t>Better than average amenities</t>
  </si>
  <si>
    <t>Above-average amenity offering. Positive differentiator within competitive set.</t>
  </si>
  <si>
    <t>Comparable amenity offering</t>
  </si>
  <si>
    <t>On par with comps. No amenity-driven premium or discount.</t>
  </si>
  <si>
    <t>Below average amenities</t>
  </si>
  <si>
    <t>Amenity gap. Property must discount vs comps; retention risk elevated.</t>
  </si>
  <si>
    <t>Minimal or inferior amenities</t>
  </si>
  <si>
    <t>Amenity deficit. Significant competitive disadvantage; premium is unattainable.</t>
  </si>
  <si>
    <t>4. Replacement cost gap  (Sub-weight: 15%)</t>
  </si>
  <si>
    <t>Replacement cost far above your basis and above what market can support for new supply</t>
  </si>
  <si>
    <t>Deep cost protection. New supply economically unviable at competitive rents; strong moat.</t>
  </si>
  <si>
    <t>Meaningful gap that discourages new supply</t>
  </si>
  <si>
    <t>Good protection. New development marginal; limits competitive threat near-term.</t>
  </si>
  <si>
    <t>Moderate gap; supply still possible</t>
  </si>
  <si>
    <t>Some protection. New supply achievable but not immediately economic; monitor pipeline.</t>
  </si>
  <si>
    <t>Small gap; new supply can compete</t>
  </si>
  <si>
    <t>Limited moat. New construction can enter at similar cost; competitive supply risk.</t>
  </si>
  <si>
    <t>No gap; new supply can undercut or match</t>
  </si>
  <si>
    <t>No cost protection. New supply will displace at better or matching product pricing.</t>
  </si>
  <si>
    <t>E. Capital and financing risk   |   Category Weight: 15%</t>
  </si>
  <si>
    <t>Particular</t>
  </si>
  <si>
    <t>Annualized Comparable Sales</t>
  </si>
  <si>
    <t>≥ 8 sales / year</t>
  </si>
  <si>
    <t>Deep buyer pool. Cap rates well-supported; multiple exit paths and minimal execution risk.</t>
  </si>
  <si>
    <t>5 to &lt; 8 sales / year</t>
  </si>
  <si>
    <t>Active market. Institutional interest reliable; exit executes at predictable pricing.</t>
  </si>
  <si>
    <t>3 to &lt; 5 sales / year</t>
  </si>
  <si>
    <t>Moderate buyer depth. Exit achievable with standard marketing; some cap rate risk.</t>
  </si>
  <si>
    <t>1 to &lt; 3 sales / year</t>
  </si>
  <si>
    <t>Thin buyer pool. Extended marketing timeline or price concession likely at exit.</t>
  </si>
  <si>
    <t>0 sales</t>
  </si>
  <si>
    <t>Minimal buyers. Exit requires patient capital or seller concession; timing risk material.</t>
  </si>
  <si>
    <t>Primary / gateway market with deep institutional interest</t>
  </si>
  <si>
    <t>Gateway market. Deep institutional buyer pool; strong exit optionality and cap rate compression.</t>
  </si>
  <si>
    <t>Strong secondary market with consistent capital flows</t>
  </si>
  <si>
    <t>Active secondary market. Reliable institutional appetite; stable and liquid exit.</t>
  </si>
  <si>
    <t>Secondary market with moderate institutional interest</t>
  </si>
  <si>
    <t>Moderate institutional interest. Reasonable exit optionality; define buyer universe in UW.</t>
  </si>
  <si>
    <t>Tertiary market with limited institutional capital</t>
  </si>
  <si>
    <t>Limited liquidity. Buyer pool shallow; exit dependent on private or regional capital.</t>
  </si>
  <si>
    <t>Rural or micro-market with minimal institutional relevance</t>
  </si>
  <si>
    <t>Illiquid market. Minimal institutional appetite; exit timing and pricing are deal risks.</t>
  </si>
  <si>
    <t>5% to &lt; 6%</t>
  </si>
  <si>
    <t>6% to &lt; 7%</t>
  </si>
  <si>
    <t>7% to ≤ 8.5%</t>
  </si>
  <si>
    <t>0.5% to &lt; 1%</t>
  </si>
  <si>
    <t>1% to &lt; 3%</t>
  </si>
  <si>
    <t>3% to ≤ 5%</t>
  </si>
  <si>
    <t>&gt; 5%</t>
  </si>
  <si>
    <t>4% to &lt; 5%</t>
  </si>
  <si>
    <t>≥ 7%</t>
  </si>
  <si>
    <t>1% to &lt; 2%</t>
  </si>
  <si>
    <t>2% to ≤ 3%</t>
  </si>
  <si>
    <t>&gt; 3%</t>
  </si>
  <si>
    <t>Market Risk Score — Complete Subitem Anchors (1–5)</t>
  </si>
  <si>
    <t>Market Risk Score (0–100) — Auto Scorecard</t>
  </si>
  <si>
    <t>Category / Subitem</t>
  </si>
  <si>
    <t>Sub-
weight</t>
  </si>
  <si>
    <t>Score
(1–5)</t>
  </si>
  <si>
    <t>Wtd
Score</t>
  </si>
  <si>
    <t>Evidence Notes
(1–3 sentences)</t>
  </si>
  <si>
    <t>Version / Diff Notes</t>
  </si>
  <si>
    <t>Weight →</t>
  </si>
  <si>
    <t>Category points</t>
  </si>
  <si>
    <t>A. Demand strength</t>
  </si>
  <si>
    <t>Weight: 30%</t>
  </si>
  <si>
    <t>B. Supply pressure</t>
  </si>
  <si>
    <t>Weight: 25%</t>
  </si>
  <si>
    <t>C. Operating cost volatility</t>
  </si>
  <si>
    <t>D. Competitive positioning</t>
  </si>
  <si>
    <t>E. Capital and financing risk</t>
  </si>
  <si>
    <t>All Reviewed?</t>
  </si>
  <si>
    <t>Category Score (1–5)</t>
  </si>
  <si>
    <t>Category Points</t>
  </si>
  <si>
    <t>Decision Band</t>
  </si>
  <si>
    <t>TOTAL MARKET SCORE  (0–100)</t>
  </si>
  <si>
    <t xml:space="preserve">CONSISTENCY FLAGS </t>
  </si>
  <si>
    <t>Source: CoStar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</si>
</sst>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1"/>
      <color theme="1"/>
      <name val="Calibri"/>
      <family val="2"/>
      <charset val="1"/>
    </font>
    <font>
      <sz val="9"/>
      <color rgb="FF000000"/>
      <name val="Arial"/>
      <charset val="1"/>
    </font>
    <font>
      <b/>
      <sz val="13"/>
      <color rgb="FF000000"/>
      <name val="Arial"/>
      <charset val="1"/>
    </font>
    <font>
      <b/>
      <sz val="14"/>
      <name val="Calibri"/>
      <family val="2"/>
      <charset val="1"/>
    </font>
    <font>
      <b/>
      <sz val="9"/>
      <color rgb="FF1F3A5F"/>
      <name val="Arial"/>
      <charset val="1"/>
    </font>
    <font>
      <b/>
      <sz val="11"/>
      <name val="Calibri"/>
      <family val="2"/>
      <charset val="1"/>
    </font>
    <font>
      <sz val="8"/>
      <color rgb="FF00000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808080"/>
      <name val="Arial"/>
      <charset val="1"/>
    </font>
    <font>
      <b/>
      <sz val="10"/>
      <color rgb="FFFFFFFF"/>
      <name val="Arial"/>
      <charset val="1"/>
    </font>
    <font>
      <b/>
      <sz val="9"/>
      <color rgb="FF363735"/>
      <name val="Arial"/>
      <charset val="1"/>
    </font>
    <font>
      <sz val="9"/>
      <color rgb="FF363735"/>
      <name val="Arial"/>
      <charset val="1"/>
    </font>
    <font>
      <i/>
      <sz val="8"/>
      <color rgb="FF555555"/>
      <name val="Arial"/>
      <charset val="1"/>
    </font>
    <font>
      <i/>
      <sz val="8"/>
      <color rgb="FF555555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363735"/>
      <name val="Arial"/>
      <family val="2"/>
      <charset val="1"/>
    </font>
    <font>
      <i/>
      <sz val="9"/>
      <color rgb="FF363735"/>
      <name val="Arial"/>
      <charset val="1"/>
    </font>
    <font>
      <sz val="8"/>
      <color rgb="FF555555"/>
      <name val="Arial"/>
      <charset val="1"/>
    </font>
    <font>
      <sz val="8"/>
      <color rgb="FF808080"/>
      <name val="Arial"/>
      <family val="2"/>
      <charset val="1"/>
    </font>
    <font>
      <sz val="9"/>
      <color rgb="FF000000"/>
      <name val="Arial"/>
      <family val="2"/>
    </font>
    <font>
      <b/>
      <sz val="11"/>
      <color rgb="FF1F3A5F"/>
      <name val="Arial"/>
      <family val="2"/>
    </font>
    <font>
      <b/>
      <sz val="8"/>
      <color rgb="FFFFFFFF"/>
      <name val="Arial"/>
      <family val="2"/>
    </font>
    <font>
      <sz val="8"/>
      <color theme="1"/>
      <name val="Calibri"/>
      <family val="2"/>
      <charset val="1"/>
    </font>
    <font>
      <b/>
      <i/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1F3A5F"/>
      <name val="Arial"/>
      <family val="2"/>
    </font>
    <font>
      <b/>
      <sz val="9"/>
      <color rgb="FFFFFFFF"/>
      <name val="Arial"/>
      <family val="2"/>
    </font>
    <font>
      <i/>
      <sz val="8"/>
      <color rgb="FF00000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E4F0"/>
        <bgColor rgb="FFE8EAF5"/>
      </patternFill>
    </fill>
    <fill>
      <patternFill patternType="solid">
        <fgColor rgb="FF1F3A5F"/>
        <bgColor rgb="FF363735"/>
      </patternFill>
    </fill>
    <fill>
      <patternFill patternType="solid">
        <fgColor rgb="FF363735"/>
        <bgColor rgb="FF333300"/>
      </patternFill>
    </fill>
    <fill>
      <patternFill patternType="solid">
        <fgColor rgb="FFEFF5FB"/>
        <bgColor rgb="FFF2F0EF"/>
      </patternFill>
    </fill>
    <fill>
      <patternFill patternType="solid">
        <fgColor rgb="FFE8EAF5"/>
        <bgColor rgb="FFF2F0EF"/>
      </patternFill>
    </fill>
    <fill>
      <patternFill patternType="solid">
        <fgColor rgb="FF6A84D2"/>
        <bgColor rgb="FF808080"/>
      </patternFill>
    </fill>
    <fill>
      <patternFill patternType="solid">
        <fgColor rgb="FFF2F0EF"/>
        <bgColor rgb="FFEFF5FB"/>
      </patternFill>
    </fill>
    <fill>
      <patternFill patternType="solid">
        <fgColor rgb="FFDFF0D8"/>
        <bgColor rgb="FFE8EAF5"/>
      </patternFill>
    </fill>
    <fill>
      <patternFill patternType="solid">
        <fgColor rgb="FFFFF3CD"/>
        <bgColor rgb="FFFFF2CC"/>
      </patternFill>
    </fill>
    <fill>
      <patternFill patternType="solid">
        <fgColor rgb="FFFCDCDC"/>
        <bgColor rgb="FFFCE4D6"/>
      </patternFill>
    </fill>
    <fill>
      <patternFill patternType="solid">
        <fgColor rgb="FFFFFFFF"/>
        <bgColor rgb="FFFFF8E7"/>
      </patternFill>
    </fill>
    <fill>
      <patternFill patternType="solid">
        <fgColor rgb="FF6A84D2"/>
        <bgColor rgb="FF4472C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B8C4D4"/>
      </left>
      <right style="thin">
        <color rgb="FFB8C4D4"/>
      </right>
      <top style="thin">
        <color rgb="FFB8C4D4"/>
      </top>
      <bottom style="thin">
        <color rgb="FFB8C4D4"/>
      </bottom>
      <diagonal/>
    </border>
    <border>
      <left style="thin">
        <color auto="1"/>
      </left>
      <right style="thin">
        <color rgb="FFB8C4D4"/>
      </right>
      <top style="thin">
        <color rgb="FFB8C4D4"/>
      </top>
      <bottom style="thin">
        <color rgb="FFB8C4D4"/>
      </bottom>
      <diagonal/>
    </border>
    <border>
      <left style="thin">
        <color rgb="FFB8C4D4"/>
      </left>
      <right style="thin">
        <color auto="1"/>
      </right>
      <top style="thin">
        <color rgb="FFB8C4D4"/>
      </top>
      <bottom style="thin">
        <color rgb="FFB8C4D4"/>
      </bottom>
      <diagonal/>
    </border>
    <border>
      <left style="thin">
        <color indexed="64"/>
      </left>
      <right style="thin">
        <color rgb="FFB8C4D4"/>
      </right>
      <top style="thin">
        <color rgb="FFB8C4D4"/>
      </top>
      <bottom style="thin">
        <color indexed="64"/>
      </bottom>
      <diagonal/>
    </border>
    <border>
      <left style="thin">
        <color rgb="FFB8C4D4"/>
      </left>
      <right style="thin">
        <color rgb="FFB8C4D4"/>
      </right>
      <top style="thin">
        <color rgb="FFB8C4D4"/>
      </top>
      <bottom style="thin">
        <color indexed="64"/>
      </bottom>
      <diagonal/>
    </border>
    <border>
      <left style="thin">
        <color rgb="FFB8C4D4"/>
      </left>
      <right style="thin">
        <color indexed="64"/>
      </right>
      <top style="thin">
        <color rgb="FFB8C4D4"/>
      </top>
      <bottom style="thin">
        <color indexed="64"/>
      </bottom>
      <diagonal/>
    </border>
    <border>
      <left style="thin">
        <color rgb="FFB8C4D4"/>
      </left>
      <right style="thin">
        <color rgb="FFB8C4D4"/>
      </right>
      <top/>
      <bottom style="thin">
        <color rgb="FFB8C4D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10" fillId="7" borderId="5" xfId="0" applyFont="1" applyFill="1" applyBorder="1" applyAlignment="1">
      <alignment horizontal="left" vertical="center" wrapText="1"/>
    </xf>
    <xf numFmtId="0" fontId="11" fillId="8" borderId="5" xfId="0" applyFont="1" applyFill="1" applyBorder="1" applyAlignment="1">
      <alignment horizontal="left" vertical="center" wrapText="1"/>
    </xf>
    <xf numFmtId="9" fontId="11" fillId="8" borderId="5" xfId="0" applyNumberFormat="1" applyFont="1" applyFill="1" applyBorder="1" applyAlignment="1">
      <alignment horizontal="left" vertical="center" wrapText="1"/>
    </xf>
    <xf numFmtId="9" fontId="0" fillId="0" borderId="0" xfId="0" applyNumberFormat="1"/>
    <xf numFmtId="0" fontId="8" fillId="4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left" vertical="center" wrapText="1"/>
    </xf>
    <xf numFmtId="9" fontId="12" fillId="8" borderId="5" xfId="0" applyNumberFormat="1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left" vertical="center" wrapText="1"/>
    </xf>
    <xf numFmtId="9" fontId="11" fillId="6" borderId="5" xfId="0" applyNumberFormat="1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14" fontId="1" fillId="0" borderId="8" xfId="0" applyNumberFormat="1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Continuous" vertical="center"/>
    </xf>
    <xf numFmtId="0" fontId="23" fillId="0" borderId="0" xfId="0" applyFont="1"/>
    <xf numFmtId="0" fontId="24" fillId="6" borderId="9" xfId="0" applyFont="1" applyFill="1" applyBorder="1" applyAlignment="1">
      <alignment horizontal="center" vertical="center" wrapText="1"/>
    </xf>
    <xf numFmtId="164" fontId="20" fillId="5" borderId="9" xfId="0" applyNumberFormat="1" applyFont="1" applyFill="1" applyBorder="1" applyAlignment="1">
      <alignment horizontal="center" vertical="center" wrapText="1"/>
    </xf>
    <xf numFmtId="164" fontId="20" fillId="12" borderId="9" xfId="0" applyNumberFormat="1" applyFont="1" applyFill="1" applyBorder="1" applyAlignment="1">
      <alignment horizontal="center" vertical="center" wrapText="1"/>
    </xf>
    <xf numFmtId="164" fontId="25" fillId="6" borderId="9" xfId="0" applyNumberFormat="1" applyFont="1" applyFill="1" applyBorder="1" applyAlignment="1">
      <alignment horizontal="center" vertical="center" wrapText="1"/>
    </xf>
    <xf numFmtId="0" fontId="20" fillId="5" borderId="10" xfId="0" applyFont="1" applyFill="1" applyBorder="1" applyAlignment="1">
      <alignment horizontal="left" vertical="center" wrapText="1"/>
    </xf>
    <xf numFmtId="9" fontId="20" fillId="5" borderId="9" xfId="0" applyNumberFormat="1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2" fontId="20" fillId="5" borderId="9" xfId="0" applyNumberFormat="1" applyFont="1" applyFill="1" applyBorder="1" applyAlignment="1">
      <alignment horizontal="center" vertical="center" wrapText="1"/>
    </xf>
    <xf numFmtId="2" fontId="20" fillId="5" borderId="11" xfId="0" applyNumberFormat="1" applyFont="1" applyFill="1" applyBorder="1" applyAlignment="1">
      <alignment horizontal="center" vertical="center" wrapText="1"/>
    </xf>
    <xf numFmtId="0" fontId="20" fillId="12" borderId="10" xfId="0" applyFont="1" applyFill="1" applyBorder="1" applyAlignment="1">
      <alignment horizontal="left" vertical="center" wrapText="1"/>
    </xf>
    <xf numFmtId="9" fontId="20" fillId="12" borderId="9" xfId="0" applyNumberFormat="1" applyFont="1" applyFill="1" applyBorder="1" applyAlignment="1">
      <alignment horizontal="center" vertical="center" wrapText="1"/>
    </xf>
    <xf numFmtId="0" fontId="20" fillId="12" borderId="9" xfId="0" applyFont="1" applyFill="1" applyBorder="1" applyAlignment="1">
      <alignment horizontal="center" vertical="center" wrapText="1"/>
    </xf>
    <xf numFmtId="2" fontId="20" fillId="12" borderId="9" xfId="0" applyNumberFormat="1" applyFont="1" applyFill="1" applyBorder="1" applyAlignment="1">
      <alignment horizontal="center" vertical="center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 wrapText="1"/>
    </xf>
    <xf numFmtId="0" fontId="25" fillId="6" borderId="10" xfId="0" applyFont="1" applyFill="1" applyBorder="1" applyAlignment="1">
      <alignment horizontal="left" vertical="center" wrapText="1"/>
    </xf>
    <xf numFmtId="9" fontId="20" fillId="6" borderId="9" xfId="0" applyNumberFormat="1" applyFont="1" applyFill="1" applyBorder="1" applyAlignment="1">
      <alignment horizontal="center" vertical="center" wrapText="1"/>
    </xf>
    <xf numFmtId="2" fontId="26" fillId="6" borderId="9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right" vertical="center" wrapText="1"/>
    </xf>
    <xf numFmtId="0" fontId="27" fillId="6" borderId="11" xfId="0" applyFont="1" applyFill="1" applyBorder="1" applyAlignment="1">
      <alignment horizontal="center" vertical="center" wrapText="1"/>
    </xf>
    <xf numFmtId="0" fontId="28" fillId="13" borderId="10" xfId="0" applyFont="1" applyFill="1" applyBorder="1" applyAlignment="1">
      <alignment horizontal="left" vertical="center" wrapText="1"/>
    </xf>
    <xf numFmtId="2" fontId="28" fillId="13" borderId="9" xfId="0" applyNumberFormat="1" applyFont="1" applyFill="1" applyBorder="1" applyAlignment="1">
      <alignment horizontal="center" vertical="center" wrapText="1"/>
    </xf>
    <xf numFmtId="164" fontId="28" fillId="13" borderId="9" xfId="0" applyNumberFormat="1" applyFont="1" applyFill="1" applyBorder="1" applyAlignment="1">
      <alignment horizontal="center" vertical="center" wrapText="1"/>
    </xf>
    <xf numFmtId="0" fontId="28" fillId="13" borderId="9" xfId="0" applyFont="1" applyFill="1" applyBorder="1" applyAlignment="1">
      <alignment horizontal="center" vertical="center" wrapText="1"/>
    </xf>
    <xf numFmtId="0" fontId="28" fillId="13" borderId="11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9" fontId="22" fillId="4" borderId="9" xfId="0" applyNumberFormat="1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11" xfId="0" applyFont="1" applyFill="1" applyBorder="1" applyAlignment="1">
      <alignment horizontal="center" vertical="center" wrapText="1"/>
    </xf>
    <xf numFmtId="0" fontId="25" fillId="6" borderId="12" xfId="0" applyFont="1" applyFill="1" applyBorder="1" applyAlignment="1">
      <alignment horizontal="left" vertical="center" wrapText="1"/>
    </xf>
    <xf numFmtId="9" fontId="20" fillId="6" borderId="13" xfId="0" applyNumberFormat="1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64" fontId="25" fillId="6" borderId="13" xfId="0" applyNumberFormat="1" applyFont="1" applyFill="1" applyBorder="1" applyAlignment="1">
      <alignment horizontal="center" vertical="center" wrapText="1"/>
    </xf>
    <xf numFmtId="2" fontId="26" fillId="6" borderId="13" xfId="0" applyNumberFormat="1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right" vertical="center" wrapText="1"/>
    </xf>
    <xf numFmtId="0" fontId="27" fillId="6" borderId="14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left" vertical="center" wrapText="1"/>
    </xf>
    <xf numFmtId="164" fontId="25" fillId="5" borderId="9" xfId="0" applyNumberFormat="1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0" fillId="12" borderId="9" xfId="0" applyFont="1" applyFill="1" applyBorder="1" applyAlignment="1">
      <alignment horizontal="left" vertical="center" wrapText="1"/>
    </xf>
    <xf numFmtId="1" fontId="20" fillId="12" borderId="9" xfId="0" applyNumberFormat="1" applyFont="1" applyFill="1" applyBorder="1" applyAlignment="1">
      <alignment horizontal="center" vertical="center" wrapText="1"/>
    </xf>
    <xf numFmtId="164" fontId="25" fillId="12" borderId="9" xfId="0" applyNumberFormat="1" applyFont="1" applyFill="1" applyBorder="1" applyAlignment="1">
      <alignment horizontal="center" vertical="center" wrapText="1"/>
    </xf>
    <xf numFmtId="0" fontId="29" fillId="12" borderId="9" xfId="0" applyFont="1" applyFill="1" applyBorder="1" applyAlignment="1">
      <alignment horizontal="center" vertical="center" wrapText="1"/>
    </xf>
    <xf numFmtId="1" fontId="20" fillId="5" borderId="9" xfId="0" applyNumberFormat="1" applyFont="1" applyFill="1" applyBorder="1" applyAlignment="1">
      <alignment horizontal="center" vertical="center" wrapText="1"/>
    </xf>
    <xf numFmtId="0" fontId="28" fillId="4" borderId="15" xfId="0" applyFont="1" applyFill="1" applyBorder="1" applyAlignment="1">
      <alignment horizontal="center" vertical="center" wrapText="1"/>
    </xf>
    <xf numFmtId="0" fontId="27" fillId="6" borderId="9" xfId="0" applyFont="1" applyFill="1" applyBorder="1" applyAlignment="1">
      <alignment horizontal="left" vertical="center" wrapText="1"/>
    </xf>
    <xf numFmtId="9" fontId="25" fillId="6" borderId="9" xfId="0" applyNumberFormat="1" applyFont="1" applyFill="1" applyBorder="1" applyAlignment="1">
      <alignment horizontal="center" vertical="center" wrapText="1"/>
    </xf>
    <xf numFmtId="1" fontId="20" fillId="6" borderId="9" xfId="0" applyNumberFormat="1" applyFont="1" applyFill="1" applyBorder="1" applyAlignment="1">
      <alignment horizontal="left" vertical="center" wrapText="1"/>
    </xf>
    <xf numFmtId="0" fontId="20" fillId="6" borderId="9" xfId="0" applyFont="1" applyFill="1" applyBorder="1" applyAlignment="1">
      <alignment horizontal="left" vertical="center" wrapText="1"/>
    </xf>
    <xf numFmtId="2" fontId="21" fillId="6" borderId="9" xfId="0" applyNumberFormat="1" applyFont="1" applyFill="1" applyBorder="1" applyAlignment="1">
      <alignment horizontal="center" vertical="center" wrapText="1"/>
    </xf>
    <xf numFmtId="0" fontId="25" fillId="6" borderId="9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9" fontId="25" fillId="0" borderId="0" xfId="0" applyNumberFormat="1" applyFont="1" applyAlignment="1">
      <alignment horizontal="center" vertical="center" wrapText="1"/>
    </xf>
    <xf numFmtId="1" fontId="20" fillId="0" borderId="0" xfId="0" applyNumberFormat="1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2" fontId="21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1" fillId="5" borderId="10" xfId="0" applyFont="1" applyFill="1" applyBorder="1" applyAlignment="1">
      <alignment horizontal="left" vertical="center" wrapText="1"/>
    </xf>
    <xf numFmtId="0" fontId="31" fillId="12" borderId="10" xfId="0" applyFont="1" applyFill="1" applyBorder="1" applyAlignment="1">
      <alignment horizontal="left" vertical="center" wrapText="1"/>
    </xf>
    <xf numFmtId="0" fontId="30" fillId="3" borderId="16" xfId="0" applyFont="1" applyFill="1" applyBorder="1" applyAlignment="1">
      <alignment horizontal="centerContinuous" vertical="center" wrapText="1"/>
    </xf>
  </cellXfs>
  <cellStyles count="1">
    <cellStyle name="Normal" xfId="0" builtinId="0"/>
  </cellStyles>
  <dxfs count="20">
    <dxf>
      <font>
        <color rgb="FF922B21"/>
      </font>
      <fill>
        <patternFill>
          <bgColor rgb="FFFCDCDC"/>
        </patternFill>
      </fill>
    </dxf>
    <dxf>
      <font>
        <color rgb="FF7D6608"/>
      </font>
      <fill>
        <patternFill>
          <bgColor rgb="FFFFF3CD"/>
        </patternFill>
      </fill>
    </dxf>
    <dxf>
      <font>
        <color rgb="FF276221"/>
      </font>
      <fill>
        <patternFill>
          <bgColor rgb="FFDFF0D8"/>
        </patternFill>
      </fill>
    </dxf>
    <dxf>
      <font>
        <color rgb="FF922B21"/>
      </font>
      <fill>
        <patternFill>
          <bgColor rgb="FFFCDCDC"/>
        </patternFill>
      </fill>
    </dxf>
    <dxf>
      <font>
        <color rgb="FF7D6608"/>
      </font>
      <fill>
        <patternFill>
          <bgColor rgb="FFFFF3CD"/>
        </patternFill>
      </fill>
    </dxf>
    <dxf>
      <font>
        <color rgb="FF276221"/>
      </font>
      <fill>
        <patternFill>
          <bgColor rgb="FFDFF0D8"/>
        </patternFill>
      </fill>
    </dxf>
    <dxf>
      <font>
        <color rgb="FF922B21"/>
      </font>
      <fill>
        <patternFill>
          <bgColor rgb="FFFCDCDC"/>
        </patternFill>
      </fill>
    </dxf>
    <dxf>
      <font>
        <color rgb="FF7D6608"/>
      </font>
      <fill>
        <patternFill>
          <bgColor rgb="FFFFF3CD"/>
        </patternFill>
      </fill>
    </dxf>
    <dxf>
      <font>
        <color rgb="FF276221"/>
      </font>
      <fill>
        <patternFill>
          <bgColor rgb="FFDFF0D8"/>
        </patternFill>
      </fill>
    </dxf>
    <dxf>
      <font>
        <color rgb="FF922B21"/>
      </font>
      <fill>
        <patternFill>
          <bgColor rgb="FFFCDCDC"/>
        </patternFill>
      </fill>
    </dxf>
    <dxf>
      <font>
        <color rgb="FF7D6608"/>
      </font>
      <fill>
        <patternFill>
          <bgColor rgb="FFFFF3CD"/>
        </patternFill>
      </fill>
    </dxf>
    <dxf>
      <font>
        <color rgb="FF276221"/>
      </font>
      <fill>
        <patternFill>
          <bgColor rgb="FFDFF0D8"/>
        </patternFill>
      </fill>
    </dxf>
    <dxf>
      <font>
        <color rgb="FF922B21"/>
      </font>
      <fill>
        <patternFill>
          <bgColor rgb="FFFCDCDC"/>
        </patternFill>
      </fill>
    </dxf>
    <dxf>
      <font>
        <color rgb="FF7D6608"/>
      </font>
      <fill>
        <patternFill>
          <bgColor rgb="FFFFF3CD"/>
        </patternFill>
      </fill>
    </dxf>
    <dxf>
      <font>
        <color rgb="FF276221"/>
      </font>
      <fill>
        <patternFill>
          <bgColor rgb="FFDFF0D8"/>
        </patternFill>
      </fill>
    </dxf>
    <dxf>
      <font>
        <color rgb="FF922B21"/>
      </font>
      <fill>
        <patternFill>
          <bgColor rgb="FFFCDCDC"/>
        </patternFill>
      </fill>
    </dxf>
    <dxf>
      <font>
        <color rgb="FF7D6608"/>
      </font>
      <fill>
        <patternFill>
          <bgColor rgb="FFFFF3CD"/>
        </patternFill>
      </fill>
    </dxf>
    <dxf>
      <font>
        <color rgb="FF276221"/>
      </font>
      <fill>
        <patternFill>
          <bgColor rgb="FFDFF0D8"/>
        </patternFill>
      </fill>
    </dxf>
    <dxf>
      <font>
        <color rgb="FF276221"/>
      </font>
      <fill>
        <patternFill>
          <bgColor rgb="FFDFF0D8"/>
        </patternFill>
      </fill>
    </dxf>
    <dxf>
      <font>
        <b/>
        <color rgb="FF7D6608"/>
      </font>
      <fill>
        <patternFill>
          <bgColor rgb="FFFFF3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DCDC"/>
      <rgbColor rgb="FF808080"/>
      <rgbColor rgb="FF6A84D2"/>
      <rgbColor rgb="FF993366"/>
      <rgbColor rgb="FFFFF3CD"/>
      <rgbColor rgb="FFDFF0D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5FB"/>
      <rgbColor rgb="FFC6EFCE"/>
      <rgbColor rgb="FFFFF2CC"/>
      <rgbColor rgb="FFE8EAF5"/>
      <rgbColor rgb="FFFCE4D6"/>
      <rgbColor rgb="FFF2F0E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637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1"/>
  <sheetViews>
    <sheetView showGridLines="0" zoomScale="101" zoomScaleNormal="91" workbookViewId="0"/>
  </sheetViews>
  <sheetFormatPr defaultColWidth="8.6328125" defaultRowHeight="14.5" x14ac:dyDescent="0.35"/>
  <cols>
    <col min="1" max="1" width="9.81640625" customWidth="1"/>
    <col min="2" max="2" width="52" bestFit="1" customWidth="1"/>
    <col min="3" max="3" width="10.81640625" bestFit="1" customWidth="1"/>
    <col min="4" max="4" width="12.36328125" bestFit="1" customWidth="1"/>
    <col min="5" max="5" width="17.6328125" bestFit="1" customWidth="1"/>
    <col min="6" max="6" width="13.6328125" bestFit="1" customWidth="1"/>
    <col min="7" max="7" width="59.6328125" customWidth="1"/>
    <col min="8" max="8" width="50" customWidth="1"/>
    <col min="9" max="9" width="14" customWidth="1"/>
    <col min="10" max="10" width="52" customWidth="1"/>
    <col min="11" max="11" width="15.1796875" customWidth="1"/>
  </cols>
  <sheetData>
    <row r="1" spans="2:10" ht="14.25" customHeight="1" x14ac:dyDescent="0.35">
      <c r="B1" s="1"/>
      <c r="C1" s="1"/>
      <c r="D1" s="1"/>
      <c r="E1" s="1"/>
      <c r="F1" s="1"/>
      <c r="G1" s="1"/>
    </row>
    <row r="2" spans="2:10" ht="27.75" customHeight="1" x14ac:dyDescent="0.35">
      <c r="B2" s="37" t="s">
        <v>390</v>
      </c>
      <c r="C2" s="2"/>
      <c r="D2" s="2"/>
      <c r="E2" s="2"/>
      <c r="F2" s="2"/>
      <c r="G2" s="2"/>
      <c r="H2" s="3"/>
      <c r="I2" s="3"/>
      <c r="J2" s="3"/>
    </row>
    <row r="3" spans="2:10" ht="19.5" customHeight="1" x14ac:dyDescent="0.35">
      <c r="B3" s="4" t="s">
        <v>0</v>
      </c>
      <c r="C3" s="40"/>
      <c r="D3" s="1"/>
      <c r="E3" s="1"/>
      <c r="F3" s="1"/>
      <c r="G3" s="1"/>
    </row>
    <row r="4" spans="2:10" ht="19.5" customHeight="1" x14ac:dyDescent="0.35">
      <c r="B4" s="41" t="s">
        <v>1</v>
      </c>
      <c r="C4" s="42">
        <f ca="1">TODAY()</f>
        <v>46161</v>
      </c>
      <c r="D4" s="5"/>
      <c r="E4" s="5"/>
      <c r="F4" s="1"/>
      <c r="G4" s="1"/>
      <c r="H4" s="6"/>
      <c r="I4" s="7"/>
    </row>
    <row r="5" spans="2:10" ht="25" customHeight="1" x14ac:dyDescent="0.35">
      <c r="B5" s="8" t="s">
        <v>2</v>
      </c>
      <c r="C5" s="43" t="s">
        <v>3</v>
      </c>
      <c r="D5" s="9"/>
      <c r="E5" s="9"/>
      <c r="F5" s="9"/>
      <c r="G5" s="9"/>
    </row>
    <row r="6" spans="2:10" ht="22.5" customHeight="1" x14ac:dyDescent="0.35">
      <c r="B6" s="38"/>
      <c r="C6" s="39"/>
      <c r="D6" s="9"/>
      <c r="E6" s="9"/>
      <c r="F6" s="9"/>
      <c r="G6" s="9"/>
    </row>
    <row r="7" spans="2:10" ht="27.75" customHeight="1" x14ac:dyDescent="0.35">
      <c r="B7" s="44" t="s">
        <v>11</v>
      </c>
      <c r="C7" s="44"/>
      <c r="D7" s="44"/>
      <c r="E7" s="44"/>
      <c r="F7" s="44"/>
      <c r="G7" s="44"/>
      <c r="H7" s="44"/>
    </row>
    <row r="8" spans="2:10" ht="27.75" customHeight="1" x14ac:dyDescent="0.35">
      <c r="B8" s="71" t="s">
        <v>391</v>
      </c>
      <c r="C8" s="72" t="s">
        <v>392</v>
      </c>
      <c r="D8" s="73" t="s">
        <v>12</v>
      </c>
      <c r="E8" s="73" t="s">
        <v>393</v>
      </c>
      <c r="F8" s="73" t="s">
        <v>394</v>
      </c>
      <c r="G8" s="73" t="s">
        <v>395</v>
      </c>
      <c r="H8" s="74" t="s">
        <v>396</v>
      </c>
      <c r="I8" s="45"/>
    </row>
    <row r="9" spans="2:10" ht="21.75" customHeight="1" x14ac:dyDescent="0.35">
      <c r="B9" s="66" t="s">
        <v>399</v>
      </c>
      <c r="C9" s="67" t="s">
        <v>400</v>
      </c>
      <c r="D9" s="67"/>
      <c r="E9" s="68"/>
      <c r="F9" s="67"/>
      <c r="G9" s="69"/>
      <c r="H9" s="70"/>
    </row>
    <row r="10" spans="2:10" ht="21.75" customHeight="1" x14ac:dyDescent="0.35">
      <c r="B10" s="105" t="s">
        <v>13</v>
      </c>
      <c r="C10" s="51">
        <v>0.3</v>
      </c>
      <c r="D10" s="52" t="s">
        <v>14</v>
      </c>
      <c r="E10" s="47">
        <v>5</v>
      </c>
      <c r="F10" s="53">
        <f>IF(E10="","",E10*C10)</f>
        <v>1.5</v>
      </c>
      <c r="G10" s="53"/>
      <c r="H10" s="54"/>
    </row>
    <row r="11" spans="2:10" ht="21.75" customHeight="1" x14ac:dyDescent="0.35">
      <c r="B11" s="106" t="s">
        <v>15</v>
      </c>
      <c r="C11" s="56">
        <v>0.25</v>
      </c>
      <c r="D11" s="57" t="s">
        <v>14</v>
      </c>
      <c r="E11" s="48">
        <v>5</v>
      </c>
      <c r="F11" s="58">
        <f>IF(E11="","",E11*C11)</f>
        <v>1.25</v>
      </c>
      <c r="G11" s="57"/>
      <c r="H11" s="59"/>
    </row>
    <row r="12" spans="2:10" ht="21.75" customHeight="1" x14ac:dyDescent="0.35">
      <c r="B12" s="105" t="s">
        <v>16</v>
      </c>
      <c r="C12" s="51">
        <v>0.25</v>
      </c>
      <c r="D12" s="52" t="s">
        <v>14</v>
      </c>
      <c r="E12" s="47">
        <v>5</v>
      </c>
      <c r="F12" s="53">
        <f>IF(E12="","",E12*C12)</f>
        <v>1.25</v>
      </c>
      <c r="G12" s="52"/>
      <c r="H12" s="60"/>
    </row>
    <row r="13" spans="2:10" ht="21.75" customHeight="1" x14ac:dyDescent="0.35">
      <c r="B13" s="106" t="s">
        <v>17</v>
      </c>
      <c r="C13" s="56">
        <v>0.05</v>
      </c>
      <c r="D13" s="57" t="s">
        <v>14</v>
      </c>
      <c r="E13" s="48">
        <v>5</v>
      </c>
      <c r="F13" s="58">
        <f>IF(E13="","",E13*C13)</f>
        <v>0.25</v>
      </c>
      <c r="G13" s="57"/>
      <c r="H13" s="59"/>
    </row>
    <row r="14" spans="2:10" ht="21.75" customHeight="1" x14ac:dyDescent="0.35">
      <c r="B14" s="105" t="s">
        <v>18</v>
      </c>
      <c r="C14" s="51">
        <v>0.15</v>
      </c>
      <c r="D14" s="52" t="s">
        <v>14</v>
      </c>
      <c r="E14" s="47">
        <v>5</v>
      </c>
      <c r="F14" s="53">
        <f>IF(E14="","",E14*C14)</f>
        <v>0.75</v>
      </c>
      <c r="G14" s="52"/>
      <c r="H14" s="60"/>
    </row>
    <row r="15" spans="2:10" ht="21.75" customHeight="1" x14ac:dyDescent="0.35">
      <c r="B15" s="61" t="s">
        <v>19</v>
      </c>
      <c r="C15" s="62">
        <f>SUM(C10:C14)</f>
        <v>1</v>
      </c>
      <c r="D15" s="46" t="s">
        <v>397</v>
      </c>
      <c r="E15" s="49">
        <f>C42*100</f>
        <v>30</v>
      </c>
      <c r="F15" s="63">
        <f>IF(OR(COUNTIF(D10:D14,"No")&gt;0,COUNTBLANK(D10:D14)&gt;0),MIN(3,SUMPRODUCT(E10:E14,C10:C14)/SUM(C10:C14)),SUMPRODUCT(E10:E14,C10:C14)/SUM(C10:C14))</f>
        <v>5</v>
      </c>
      <c r="G15" s="64" t="s">
        <v>398</v>
      </c>
      <c r="H15" s="65">
        <f>IF(F15="","",(F15/5)*E15)</f>
        <v>30</v>
      </c>
    </row>
    <row r="16" spans="2:10" ht="21.75" customHeight="1" x14ac:dyDescent="0.35">
      <c r="B16" s="66" t="s">
        <v>401</v>
      </c>
      <c r="C16" s="67" t="s">
        <v>402</v>
      </c>
      <c r="D16" s="67"/>
      <c r="E16" s="68"/>
      <c r="F16" s="67"/>
      <c r="G16" s="69"/>
      <c r="H16" s="70"/>
    </row>
    <row r="17" spans="2:10" ht="21.75" customHeight="1" x14ac:dyDescent="0.35">
      <c r="B17" s="50" t="s">
        <v>20</v>
      </c>
      <c r="C17" s="51">
        <v>0.4</v>
      </c>
      <c r="D17" s="52" t="s">
        <v>14</v>
      </c>
      <c r="E17" s="47">
        <v>5</v>
      </c>
      <c r="F17" s="53">
        <f t="shared" ref="F17:F21" si="0">IF(E17="","",E17*C17)</f>
        <v>2</v>
      </c>
      <c r="G17" s="53"/>
      <c r="H17" s="54"/>
    </row>
    <row r="18" spans="2:10" ht="21.75" customHeight="1" x14ac:dyDescent="0.35">
      <c r="B18" s="55" t="s">
        <v>21</v>
      </c>
      <c r="C18" s="56">
        <v>0.1</v>
      </c>
      <c r="D18" s="57" t="s">
        <v>14</v>
      </c>
      <c r="E18" s="48">
        <v>5</v>
      </c>
      <c r="F18" s="58">
        <f t="shared" si="0"/>
        <v>0.5</v>
      </c>
      <c r="G18" s="57"/>
      <c r="H18" s="59"/>
    </row>
    <row r="19" spans="2:10" ht="21.75" customHeight="1" x14ac:dyDescent="0.35">
      <c r="B19" s="50" t="s">
        <v>22</v>
      </c>
      <c r="C19" s="51">
        <v>0.25</v>
      </c>
      <c r="D19" s="52" t="s">
        <v>14</v>
      </c>
      <c r="E19" s="47">
        <v>5</v>
      </c>
      <c r="F19" s="53">
        <f t="shared" si="0"/>
        <v>1.25</v>
      </c>
      <c r="G19" s="52"/>
      <c r="H19" s="60"/>
    </row>
    <row r="20" spans="2:10" ht="21.75" customHeight="1" x14ac:dyDescent="0.35">
      <c r="B20" s="55" t="s">
        <v>23</v>
      </c>
      <c r="C20" s="56">
        <v>0.15</v>
      </c>
      <c r="D20" s="57" t="s">
        <v>14</v>
      </c>
      <c r="E20" s="48">
        <v>5</v>
      </c>
      <c r="F20" s="58">
        <f t="shared" si="0"/>
        <v>0.75</v>
      </c>
      <c r="G20" s="57"/>
      <c r="H20" s="59"/>
    </row>
    <row r="21" spans="2:10" ht="21.75" customHeight="1" x14ac:dyDescent="0.35">
      <c r="B21" s="50" t="s">
        <v>24</v>
      </c>
      <c r="C21" s="51">
        <v>0.1</v>
      </c>
      <c r="D21" s="52" t="s">
        <v>14</v>
      </c>
      <c r="E21" s="47">
        <v>5</v>
      </c>
      <c r="F21" s="53">
        <f t="shared" si="0"/>
        <v>0.5</v>
      </c>
      <c r="G21" s="52"/>
      <c r="H21" s="60"/>
    </row>
    <row r="22" spans="2:10" ht="21.75" customHeight="1" x14ac:dyDescent="0.35">
      <c r="B22" s="61" t="s">
        <v>19</v>
      </c>
      <c r="C22" s="62">
        <f>SUM(C17:C21)</f>
        <v>1</v>
      </c>
      <c r="D22" s="46" t="s">
        <v>397</v>
      </c>
      <c r="E22" s="49">
        <f>C43*100</f>
        <v>25</v>
      </c>
      <c r="F22" s="63">
        <f>IF(OR(COUNTIF(D17:D21,"No")&gt;0,COUNTBLANK(D17:D21)&gt;0),MIN(3,SUMPRODUCT(E17:E21,C17:C21)/SUM(C17:C21)),SUMPRODUCT(E17:E21,C17:C21)/SUM(C17:C21))</f>
        <v>5</v>
      </c>
      <c r="G22" s="64" t="s">
        <v>398</v>
      </c>
      <c r="H22" s="65">
        <f>IF(F22="","",(F22/5)*E22)</f>
        <v>25</v>
      </c>
    </row>
    <row r="23" spans="2:10" ht="21.75" customHeight="1" x14ac:dyDescent="0.35">
      <c r="B23" s="66" t="s">
        <v>403</v>
      </c>
      <c r="C23" s="67"/>
      <c r="D23" s="67"/>
      <c r="E23" s="68"/>
      <c r="F23" s="67"/>
      <c r="G23" s="69"/>
      <c r="H23" s="70"/>
    </row>
    <row r="24" spans="2:10" ht="21.75" customHeight="1" x14ac:dyDescent="0.35">
      <c r="B24" s="50" t="s">
        <v>25</v>
      </c>
      <c r="C24" s="51">
        <v>0.4</v>
      </c>
      <c r="D24" s="52" t="s">
        <v>14</v>
      </c>
      <c r="E24" s="47">
        <v>5</v>
      </c>
      <c r="F24" s="53">
        <f t="shared" ref="F24:F26" si="1">IF(E24="","",E24*C24)</f>
        <v>2</v>
      </c>
      <c r="G24" s="52"/>
      <c r="H24" s="60"/>
    </row>
    <row r="25" spans="2:10" ht="21.75" customHeight="1" x14ac:dyDescent="0.35">
      <c r="B25" s="55" t="s">
        <v>26</v>
      </c>
      <c r="C25" s="56">
        <v>0.4</v>
      </c>
      <c r="D25" s="57" t="s">
        <v>14</v>
      </c>
      <c r="E25" s="48">
        <v>5</v>
      </c>
      <c r="F25" s="58">
        <f t="shared" si="1"/>
        <v>2</v>
      </c>
      <c r="G25" s="57"/>
      <c r="H25" s="59"/>
    </row>
    <row r="26" spans="2:10" ht="21.75" customHeight="1" x14ac:dyDescent="0.35">
      <c r="B26" s="50" t="s">
        <v>27</v>
      </c>
      <c r="C26" s="51">
        <v>0.2</v>
      </c>
      <c r="D26" s="52" t="s">
        <v>14</v>
      </c>
      <c r="E26" s="47">
        <v>5</v>
      </c>
      <c r="F26" s="53">
        <f t="shared" si="1"/>
        <v>1</v>
      </c>
      <c r="G26" s="52"/>
      <c r="H26" s="60"/>
    </row>
    <row r="27" spans="2:10" ht="21.75" customHeight="1" x14ac:dyDescent="0.35">
      <c r="B27" s="61" t="s">
        <v>19</v>
      </c>
      <c r="C27" s="62">
        <f>SUM(C24:C26)</f>
        <v>1</v>
      </c>
      <c r="D27" s="46" t="s">
        <v>397</v>
      </c>
      <c r="E27" s="49">
        <f>C44*100</f>
        <v>15</v>
      </c>
      <c r="F27" s="63">
        <f>IF(OR(COUNTIF(D24:D26,"No")&gt;0,COUNTBLANK(D24:D26)&gt;0),MIN(3,SUMPRODUCT(E24:E26,C24:C26)/SUM(C24:C26)),SUMPRODUCT(E24:E26,C24:C26)/SUM(C24:C26))</f>
        <v>5</v>
      </c>
      <c r="G27" s="64" t="s">
        <v>398</v>
      </c>
      <c r="H27" s="65">
        <f>IF(F27="","",(F27/5)*E27)</f>
        <v>15</v>
      </c>
    </row>
    <row r="28" spans="2:10" ht="21.75" customHeight="1" x14ac:dyDescent="0.35">
      <c r="B28" s="66" t="s">
        <v>404</v>
      </c>
      <c r="C28" s="67"/>
      <c r="D28" s="67"/>
      <c r="E28" s="68"/>
      <c r="F28" s="67"/>
      <c r="G28" s="69"/>
      <c r="H28" s="70"/>
      <c r="I28" s="10"/>
    </row>
    <row r="29" spans="2:10" ht="21.75" customHeight="1" x14ac:dyDescent="0.35">
      <c r="B29" s="50" t="s">
        <v>28</v>
      </c>
      <c r="C29" s="51">
        <v>0.35</v>
      </c>
      <c r="D29" s="52" t="s">
        <v>14</v>
      </c>
      <c r="E29" s="47">
        <v>5</v>
      </c>
      <c r="F29" s="53">
        <f t="shared" ref="F29:F32" si="2">IF(E29="","",E29*C29)</f>
        <v>1.75</v>
      </c>
      <c r="G29" s="53"/>
      <c r="H29" s="54"/>
      <c r="I29" s="10"/>
    </row>
    <row r="30" spans="2:10" ht="21.75" customHeight="1" x14ac:dyDescent="0.35">
      <c r="B30" s="55" t="s">
        <v>29</v>
      </c>
      <c r="C30" s="56">
        <v>0.25</v>
      </c>
      <c r="D30" s="57" t="s">
        <v>14</v>
      </c>
      <c r="E30" s="48">
        <v>5</v>
      </c>
      <c r="F30" s="58">
        <f t="shared" si="2"/>
        <v>1.25</v>
      </c>
      <c r="G30" s="57"/>
      <c r="H30" s="59"/>
    </row>
    <row r="31" spans="2:10" ht="21.75" customHeight="1" x14ac:dyDescent="0.35">
      <c r="B31" s="50" t="s">
        <v>30</v>
      </c>
      <c r="C31" s="51">
        <v>0.25</v>
      </c>
      <c r="D31" s="52" t="s">
        <v>14</v>
      </c>
      <c r="E31" s="47">
        <v>5</v>
      </c>
      <c r="F31" s="53">
        <f t="shared" si="2"/>
        <v>1.25</v>
      </c>
      <c r="G31" s="52"/>
      <c r="H31" s="60"/>
      <c r="J31" s="11"/>
    </row>
    <row r="32" spans="2:10" ht="21.75" customHeight="1" x14ac:dyDescent="0.35">
      <c r="B32" s="55" t="s">
        <v>31</v>
      </c>
      <c r="C32" s="56">
        <v>0.15</v>
      </c>
      <c r="D32" s="57" t="s">
        <v>14</v>
      </c>
      <c r="E32" s="48">
        <v>5</v>
      </c>
      <c r="F32" s="58">
        <f t="shared" si="2"/>
        <v>0.75</v>
      </c>
      <c r="G32" s="57"/>
      <c r="H32" s="59"/>
    </row>
    <row r="33" spans="2:8" ht="21.75" customHeight="1" x14ac:dyDescent="0.35">
      <c r="B33" s="61" t="s">
        <v>19</v>
      </c>
      <c r="C33" s="62">
        <f>SUM(C29:C32)</f>
        <v>1</v>
      </c>
      <c r="D33" s="46" t="s">
        <v>397</v>
      </c>
      <c r="E33" s="49">
        <f>C45*100</f>
        <v>15</v>
      </c>
      <c r="F33" s="63">
        <f>IF(OR(COUNTIF(D29:D32,"No")&gt;0,COUNTBLANK(D29:D32)&gt;0),MIN(3,SUMPRODUCT(E29:E32,C29:C32)/SUM(C29:C32)),SUMPRODUCT(E29:E32,C29:C32)/SUM(C29:C32))</f>
        <v>5</v>
      </c>
      <c r="G33" s="64" t="s">
        <v>398</v>
      </c>
      <c r="H33" s="65">
        <f>IF(F33="","",(F33/5)*E33)</f>
        <v>15</v>
      </c>
    </row>
    <row r="34" spans="2:8" ht="21.75" customHeight="1" x14ac:dyDescent="0.35">
      <c r="B34" s="66" t="s">
        <v>405</v>
      </c>
      <c r="C34" s="67"/>
      <c r="D34" s="67"/>
      <c r="E34" s="68"/>
      <c r="F34" s="67"/>
      <c r="G34" s="69"/>
      <c r="H34" s="70"/>
    </row>
    <row r="35" spans="2:8" ht="21.75" customHeight="1" x14ac:dyDescent="0.35">
      <c r="B35" s="50" t="s">
        <v>32</v>
      </c>
      <c r="C35" s="51">
        <v>0.7</v>
      </c>
      <c r="D35" s="52" t="s">
        <v>14</v>
      </c>
      <c r="E35" s="47">
        <v>5</v>
      </c>
      <c r="F35" s="53">
        <f t="shared" ref="F35:F36" si="3">IF(E35="","",E35*C35)</f>
        <v>3.5</v>
      </c>
      <c r="G35" s="52"/>
      <c r="H35" s="60"/>
    </row>
    <row r="36" spans="2:8" ht="21.75" customHeight="1" x14ac:dyDescent="0.35">
      <c r="B36" s="55" t="s">
        <v>33</v>
      </c>
      <c r="C36" s="56">
        <v>0.3</v>
      </c>
      <c r="D36" s="57" t="s">
        <v>14</v>
      </c>
      <c r="E36" s="48">
        <v>5</v>
      </c>
      <c r="F36" s="58">
        <f t="shared" si="3"/>
        <v>1.5</v>
      </c>
      <c r="G36" s="57"/>
      <c r="H36" s="59"/>
    </row>
    <row r="37" spans="2:8" ht="21.75" customHeight="1" x14ac:dyDescent="0.35">
      <c r="B37" s="75" t="s">
        <v>19</v>
      </c>
      <c r="C37" s="76">
        <f>SUM(C35:C36)</f>
        <v>1</v>
      </c>
      <c r="D37" s="77" t="s">
        <v>397</v>
      </c>
      <c r="E37" s="78">
        <f>C46*100</f>
        <v>15</v>
      </c>
      <c r="F37" s="79">
        <f>IF(OR(COUNTIF(D35:D36,"No")&gt;0,COUNTBLANK(D35:D36)&gt;0),MIN(3,SUMPRODUCT(E35:E36,C35:C36)/SUM(C35:C36)),SUMPRODUCT(E35:E36,C35:C36)/SUM(C35:C36))</f>
        <v>5</v>
      </c>
      <c r="G37" s="80" t="s">
        <v>398</v>
      </c>
      <c r="H37" s="81">
        <f>IF(F37="","",(F37/5)*E37)</f>
        <v>15</v>
      </c>
    </row>
    <row r="38" spans="2:8" ht="21.75" customHeight="1" x14ac:dyDescent="0.35">
      <c r="B38" s="1"/>
      <c r="C38" s="1"/>
      <c r="D38" s="1"/>
      <c r="E38" s="1"/>
      <c r="F38" s="1"/>
      <c r="G38" s="1"/>
    </row>
    <row r="40" spans="2:8" ht="14.25" customHeight="1" x14ac:dyDescent="0.35">
      <c r="B40" s="44" t="s">
        <v>4</v>
      </c>
      <c r="C40" s="44"/>
      <c r="D40" s="44"/>
      <c r="E40" s="44"/>
      <c r="F40" s="44"/>
      <c r="G40" s="44"/>
    </row>
    <row r="41" spans="2:8" x14ac:dyDescent="0.35">
      <c r="B41" s="90" t="s">
        <v>5</v>
      </c>
      <c r="C41" s="90" t="s">
        <v>37</v>
      </c>
      <c r="D41" s="90" t="s">
        <v>406</v>
      </c>
      <c r="E41" s="90" t="s">
        <v>407</v>
      </c>
      <c r="F41" s="90" t="s">
        <v>408</v>
      </c>
      <c r="G41" s="90" t="s">
        <v>409</v>
      </c>
    </row>
    <row r="42" spans="2:8" x14ac:dyDescent="0.35">
      <c r="B42" s="82" t="s">
        <v>399</v>
      </c>
      <c r="C42" s="51">
        <v>0.3</v>
      </c>
      <c r="D42" s="52" t="str">
        <f>IF(COUNTIF(D10:D14,"Yes")=ROWS(D10:D14),"Yes","Incomplete")</f>
        <v>Yes</v>
      </c>
      <c r="E42" s="53">
        <f>F15</f>
        <v>5</v>
      </c>
      <c r="F42" s="83">
        <f>H15</f>
        <v>30</v>
      </c>
      <c r="G42" s="84" t="str">
        <f>IF(E42="","",IF(E42&gt;=4,"Strong",IF(E42&gt;=3,"Acceptable","Watch")))</f>
        <v>Strong</v>
      </c>
    </row>
    <row r="43" spans="2:8" x14ac:dyDescent="0.35">
      <c r="B43" s="85" t="s">
        <v>401</v>
      </c>
      <c r="C43" s="56">
        <v>0.25</v>
      </c>
      <c r="D43" s="86" t="str">
        <f>IF(COUNTIF(D17:D21,"Yes")=ROWS(D17:D21),"Yes","Incomplete")</f>
        <v>Yes</v>
      </c>
      <c r="E43" s="58">
        <f>F22</f>
        <v>5</v>
      </c>
      <c r="F43" s="87">
        <f>H22</f>
        <v>25</v>
      </c>
      <c r="G43" s="88" t="str">
        <f t="shared" ref="G43:G46" si="4">IF(E43="","",IF(E43&gt;=4,"Strong",IF(E43&gt;=3,"Acceptable","Watch")))</f>
        <v>Strong</v>
      </c>
    </row>
    <row r="44" spans="2:8" x14ac:dyDescent="0.35">
      <c r="B44" s="82" t="s">
        <v>403</v>
      </c>
      <c r="C44" s="51">
        <v>0.15</v>
      </c>
      <c r="D44" s="89" t="str">
        <f>IF(COUNTIF(D24:D26,"Yes")=ROWS(D24:D26),"Yes","Incomplete")</f>
        <v>Yes</v>
      </c>
      <c r="E44" s="53">
        <f>F27</f>
        <v>5</v>
      </c>
      <c r="F44" s="83">
        <f>H27</f>
        <v>15</v>
      </c>
      <c r="G44" s="84" t="str">
        <f t="shared" si="4"/>
        <v>Strong</v>
      </c>
    </row>
    <row r="45" spans="2:8" x14ac:dyDescent="0.35">
      <c r="B45" s="85" t="s">
        <v>404</v>
      </c>
      <c r="C45" s="56">
        <v>0.15</v>
      </c>
      <c r="D45" s="86" t="str">
        <f>IF(COUNTIF(D29:D32,"Yes")=ROWS(D29:D32),"Yes","Incomplete")</f>
        <v>Yes</v>
      </c>
      <c r="E45" s="58">
        <f>F33</f>
        <v>5</v>
      </c>
      <c r="F45" s="87">
        <f>H33</f>
        <v>15</v>
      </c>
      <c r="G45" s="88" t="str">
        <f t="shared" si="4"/>
        <v>Strong</v>
      </c>
    </row>
    <row r="46" spans="2:8" x14ac:dyDescent="0.35">
      <c r="B46" s="82" t="s">
        <v>405</v>
      </c>
      <c r="C46" s="51">
        <v>0.15</v>
      </c>
      <c r="D46" s="89" t="str">
        <f>IF(COUNTIF(D35:D36,"Yes")=ROWS(D35:D36),"Yes","Incomplete")</f>
        <v>Yes</v>
      </c>
      <c r="E46" s="53">
        <f>F37</f>
        <v>5</v>
      </c>
      <c r="F46" s="83">
        <f>H37</f>
        <v>15</v>
      </c>
      <c r="G46" s="84" t="str">
        <f t="shared" si="4"/>
        <v>Strong</v>
      </c>
    </row>
    <row r="47" spans="2:8" x14ac:dyDescent="0.35">
      <c r="B47" s="91" t="s">
        <v>410</v>
      </c>
      <c r="C47" s="92">
        <f>SUM(C42:C46)</f>
        <v>1</v>
      </c>
      <c r="D47" s="93"/>
      <c r="E47" s="94"/>
      <c r="F47" s="95">
        <f>SUM(F39:F46)</f>
        <v>100</v>
      </c>
      <c r="G47" s="96" t="str">
        <f>IF(F47&gt;=70,"Strong",IF(F47&gt;=55,"Acceptable",IF(F47&gt;=50,"Caution","Do Not Proceed")))</f>
        <v>Strong</v>
      </c>
    </row>
    <row r="48" spans="2:8" x14ac:dyDescent="0.35">
      <c r="B48" s="97"/>
      <c r="C48" s="98"/>
      <c r="D48" s="99"/>
      <c r="E48" s="100"/>
      <c r="F48" s="101"/>
      <c r="G48" s="102"/>
    </row>
    <row r="49" spans="2:7" x14ac:dyDescent="0.35">
      <c r="B49" s="107" t="s">
        <v>411</v>
      </c>
      <c r="C49" s="107"/>
      <c r="D49" s="99"/>
      <c r="E49" s="100"/>
      <c r="F49" s="101"/>
      <c r="G49" s="102"/>
    </row>
    <row r="50" spans="2:7" x14ac:dyDescent="0.35">
      <c r="B50" s="103" t="s">
        <v>8</v>
      </c>
      <c r="C50" s="40" t="s">
        <v>9</v>
      </c>
      <c r="E50" s="1"/>
      <c r="F50" s="1"/>
      <c r="G50" s="1"/>
    </row>
    <row r="51" spans="2:7" x14ac:dyDescent="0.35">
      <c r="B51" s="104" t="s">
        <v>10</v>
      </c>
      <c r="C51" s="43" t="str">
        <f>IF(AND(F22&lt;=2,F33&gt;4,$C$5&lt;&gt;"Yes"),"FLAG: Supply pressure is high. Competitive positioning cannot be scored above 4 unless a proven niche exists.","OK")</f>
        <v>OK</v>
      </c>
      <c r="E51" s="1"/>
      <c r="F51" s="1"/>
      <c r="G51" s="1"/>
    </row>
  </sheetData>
  <conditionalFormatting sqref="C51">
    <cfRule type="expression" dxfId="19" priority="1">
      <formula>NOT(ISERROR(SEARCH("FLAG",C51)))</formula>
    </cfRule>
    <cfRule type="expression" dxfId="18" priority="2">
      <formula>C51="OK"</formula>
    </cfRule>
  </conditionalFormatting>
  <conditionalFormatting sqref="E10:E15">
    <cfRule type="cellIs" dxfId="17" priority="24" operator="greaterThanOrEqual">
      <formula>4</formula>
    </cfRule>
    <cfRule type="cellIs" dxfId="16" priority="25" operator="equal">
      <formula>3</formula>
    </cfRule>
    <cfRule type="cellIs" dxfId="15" priority="26" operator="lessThanOrEqual">
      <formula>2</formula>
    </cfRule>
  </conditionalFormatting>
  <conditionalFormatting sqref="E17:E22">
    <cfRule type="cellIs" dxfId="14" priority="21" operator="greaterThanOrEqual">
      <formula>4</formula>
    </cfRule>
    <cfRule type="cellIs" dxfId="13" priority="22" operator="equal">
      <formula>3</formula>
    </cfRule>
    <cfRule type="cellIs" dxfId="12" priority="23" operator="lessThanOrEqual">
      <formula>2</formula>
    </cfRule>
  </conditionalFormatting>
  <conditionalFormatting sqref="E24:E27">
    <cfRule type="cellIs" dxfId="11" priority="18" operator="greaterThanOrEqual">
      <formula>4</formula>
    </cfRule>
    <cfRule type="cellIs" dxfId="10" priority="19" operator="equal">
      <formula>3</formula>
    </cfRule>
    <cfRule type="cellIs" dxfId="9" priority="20" operator="lessThanOrEqual">
      <formula>2</formula>
    </cfRule>
  </conditionalFormatting>
  <conditionalFormatting sqref="E29:E33">
    <cfRule type="cellIs" dxfId="8" priority="12" operator="greaterThanOrEqual">
      <formula>4</formula>
    </cfRule>
    <cfRule type="cellIs" dxfId="7" priority="13" operator="equal">
      <formula>3</formula>
    </cfRule>
    <cfRule type="cellIs" dxfId="6" priority="14" operator="lessThanOrEqual">
      <formula>2</formula>
    </cfRule>
  </conditionalFormatting>
  <conditionalFormatting sqref="E35:E37">
    <cfRule type="cellIs" dxfId="5" priority="6" operator="greaterThanOrEqual">
      <formula>4</formula>
    </cfRule>
    <cfRule type="cellIs" dxfId="4" priority="7" operator="equal">
      <formula>3</formula>
    </cfRule>
    <cfRule type="cellIs" dxfId="3" priority="8" operator="lessThanOrEqual">
      <formula>2</formula>
    </cfRule>
  </conditionalFormatting>
  <conditionalFormatting sqref="E42:E46">
    <cfRule type="cellIs" dxfId="2" priority="3" operator="greaterThanOrEqual">
      <formula>4</formula>
    </cfRule>
    <cfRule type="cellIs" dxfId="1" priority="4" operator="equal">
      <formula>3</formula>
    </cfRule>
    <cfRule type="cellIs" dxfId="0" priority="5" operator="lessThanOrEqual">
      <formula>2</formula>
    </cfRule>
  </conditionalFormatting>
  <dataValidations count="3">
    <dataValidation type="list" sqref="C5:E6 D10:D14 D17:D21 D24:D26 D29:D32 D35:D36" xr:uid="{00000000-0002-0000-0000-000000000000}">
      <formula1>"Yes,No"</formula1>
      <formula2>0</formula2>
    </dataValidation>
    <dataValidation type="whole" sqref="F10:F14 E17:E21 E24:E26 E29:E32 E35:E36" xr:uid="{00000000-0002-0000-0000-000001000000}">
      <formula1>1</formula1>
      <formula2>5</formula2>
    </dataValidation>
    <dataValidation sqref="D15 D22" xr:uid="{415E18F0-3E25-4BCF-B277-9D6BDC39AA67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95"/>
  <sheetViews>
    <sheetView showGridLines="0" tabSelected="1" topLeftCell="B68" zoomScale="93" zoomScaleNormal="93" workbookViewId="0">
      <selection activeCell="E68" sqref="E68"/>
    </sheetView>
  </sheetViews>
  <sheetFormatPr defaultColWidth="8.6328125" defaultRowHeight="14.5" x14ac:dyDescent="0.35"/>
  <cols>
    <col min="1" max="1" width="8.6328125" customWidth="1"/>
    <col min="2" max="2" width="39.7265625" customWidth="1"/>
    <col min="3" max="3" width="52" customWidth="1"/>
    <col min="4" max="4" width="58" customWidth="1"/>
    <col min="5" max="5" width="37.54296875" customWidth="1"/>
    <col min="6" max="6" width="50" customWidth="1"/>
    <col min="7" max="7" width="30" customWidth="1"/>
  </cols>
  <sheetData>
    <row r="1" spans="2:5" ht="7.5" customHeight="1" x14ac:dyDescent="0.35"/>
    <row r="2" spans="2:5" ht="7.5" customHeight="1" x14ac:dyDescent="0.35"/>
    <row r="3" spans="2:5" ht="21.75" customHeight="1" x14ac:dyDescent="0.35">
      <c r="B3" s="37" t="s">
        <v>389</v>
      </c>
    </row>
    <row r="4" spans="2:5" ht="27.75" customHeight="1" x14ac:dyDescent="0.35">
      <c r="B4" s="13" t="s">
        <v>34</v>
      </c>
      <c r="C4" s="13"/>
      <c r="D4" s="13"/>
    </row>
    <row r="5" spans="2:5" ht="27.75" customHeight="1" x14ac:dyDescent="0.35">
      <c r="B5" s="14" t="s">
        <v>35</v>
      </c>
      <c r="C5" s="15"/>
      <c r="D5" s="14"/>
      <c r="E5" s="16"/>
    </row>
    <row r="6" spans="2:5" ht="27.75" customHeight="1" x14ac:dyDescent="0.35">
      <c r="B6" s="17" t="s">
        <v>36</v>
      </c>
      <c r="C6" s="17" t="s">
        <v>37</v>
      </c>
      <c r="D6" s="17" t="s">
        <v>7</v>
      </c>
      <c r="E6" s="16"/>
    </row>
    <row r="7" spans="2:5" ht="27.75" customHeight="1" x14ac:dyDescent="0.35">
      <c r="B7" s="18" t="s">
        <v>38</v>
      </c>
      <c r="C7" s="19">
        <v>0.5</v>
      </c>
      <c r="D7" s="20"/>
      <c r="E7" s="16"/>
    </row>
    <row r="8" spans="2:5" ht="27.75" customHeight="1" x14ac:dyDescent="0.35">
      <c r="B8" s="18" t="s">
        <v>39</v>
      </c>
      <c r="C8" s="19">
        <v>0.3</v>
      </c>
      <c r="D8" s="20"/>
      <c r="E8" s="16"/>
    </row>
    <row r="9" spans="2:5" ht="27.75" customHeight="1" x14ac:dyDescent="0.35">
      <c r="B9" s="18" t="s">
        <v>40</v>
      </c>
      <c r="C9" s="19">
        <v>0.2</v>
      </c>
      <c r="D9" s="20"/>
      <c r="E9" s="16"/>
    </row>
    <row r="10" spans="2:5" ht="27.75" customHeight="1" x14ac:dyDescent="0.35">
      <c r="B10" s="21" t="s">
        <v>41</v>
      </c>
      <c r="C10" s="22">
        <f>SUM(C7:C9)</f>
        <v>1</v>
      </c>
      <c r="D10" s="23">
        <f>SUMPRODUCT(D7:D9,C7:C9)/SUM(C7:C9)</f>
        <v>0</v>
      </c>
      <c r="E10" s="16"/>
    </row>
    <row r="11" spans="2:5" ht="27.75" customHeight="1" x14ac:dyDescent="0.35">
      <c r="B11" s="17" t="s">
        <v>7</v>
      </c>
      <c r="C11" s="17" t="s">
        <v>42</v>
      </c>
      <c r="D11" s="17" t="s">
        <v>43</v>
      </c>
    </row>
    <row r="12" spans="2:5" ht="27.75" customHeight="1" x14ac:dyDescent="0.35">
      <c r="B12" s="24">
        <v>5</v>
      </c>
      <c r="C12" s="25" t="s">
        <v>44</v>
      </c>
      <c r="D12" s="26" t="s">
        <v>45</v>
      </c>
      <c r="E12" s="12" t="s">
        <v>46</v>
      </c>
    </row>
    <row r="13" spans="2:5" ht="27.75" customHeight="1" x14ac:dyDescent="0.35">
      <c r="B13" s="24">
        <v>4</v>
      </c>
      <c r="C13" s="25" t="s">
        <v>47</v>
      </c>
      <c r="D13" s="26" t="s">
        <v>48</v>
      </c>
      <c r="E13" s="12"/>
    </row>
    <row r="14" spans="2:5" ht="27.75" customHeight="1" x14ac:dyDescent="0.35">
      <c r="B14" s="27">
        <v>3</v>
      </c>
      <c r="C14" s="25" t="s">
        <v>49</v>
      </c>
      <c r="D14" s="26" t="s">
        <v>50</v>
      </c>
      <c r="E14" s="12"/>
    </row>
    <row r="15" spans="2:5" ht="27.75" customHeight="1" x14ac:dyDescent="0.35">
      <c r="B15" s="28">
        <v>2</v>
      </c>
      <c r="C15" s="25" t="s">
        <v>51</v>
      </c>
      <c r="D15" s="26" t="s">
        <v>52</v>
      </c>
      <c r="E15" s="12"/>
    </row>
    <row r="16" spans="2:5" ht="27.75" customHeight="1" x14ac:dyDescent="0.35">
      <c r="B16" s="28">
        <v>1</v>
      </c>
      <c r="C16" s="25" t="s">
        <v>53</v>
      </c>
      <c r="D16" s="26" t="s">
        <v>54</v>
      </c>
      <c r="E16" s="12"/>
    </row>
    <row r="17" spans="2:5" ht="27.75" customHeight="1" x14ac:dyDescent="0.35">
      <c r="B17" s="17" t="s">
        <v>7</v>
      </c>
      <c r="C17" s="17" t="s">
        <v>39</v>
      </c>
      <c r="D17" s="17" t="s">
        <v>43</v>
      </c>
      <c r="E17" s="12"/>
    </row>
    <row r="18" spans="2:5" ht="27.75" customHeight="1" x14ac:dyDescent="0.35">
      <c r="B18" s="24">
        <v>5</v>
      </c>
      <c r="C18" s="25" t="s">
        <v>55</v>
      </c>
      <c r="D18" s="26" t="s">
        <v>56</v>
      </c>
      <c r="E18" s="12" t="s">
        <v>46</v>
      </c>
    </row>
    <row r="19" spans="2:5" ht="27.75" customHeight="1" x14ac:dyDescent="0.35">
      <c r="B19" s="24">
        <v>4</v>
      </c>
      <c r="C19" s="25" t="s">
        <v>384</v>
      </c>
      <c r="D19" s="26" t="s">
        <v>57</v>
      </c>
      <c r="E19" s="12"/>
    </row>
    <row r="20" spans="2:5" ht="27.75" customHeight="1" x14ac:dyDescent="0.35">
      <c r="B20" s="27">
        <v>3</v>
      </c>
      <c r="C20" s="25" t="s">
        <v>377</v>
      </c>
      <c r="D20" s="26" t="s">
        <v>58</v>
      </c>
      <c r="E20" s="12"/>
    </row>
    <row r="21" spans="2:5" ht="27.75" customHeight="1" x14ac:dyDescent="0.35">
      <c r="B21" s="28">
        <v>2</v>
      </c>
      <c r="C21" s="25" t="s">
        <v>378</v>
      </c>
      <c r="D21" s="26" t="s">
        <v>59</v>
      </c>
      <c r="E21" s="12"/>
    </row>
    <row r="22" spans="2:5" ht="27.75" customHeight="1" x14ac:dyDescent="0.35">
      <c r="B22" s="28">
        <v>1</v>
      </c>
      <c r="C22" s="25" t="s">
        <v>385</v>
      </c>
      <c r="D22" s="26" t="s">
        <v>60</v>
      </c>
      <c r="E22" s="12"/>
    </row>
    <row r="23" spans="2:5" ht="27.75" customHeight="1" x14ac:dyDescent="0.35">
      <c r="B23" s="17" t="s">
        <v>7</v>
      </c>
      <c r="C23" s="17" t="s">
        <v>40</v>
      </c>
      <c r="D23" s="17" t="s">
        <v>43</v>
      </c>
      <c r="E23" s="12"/>
    </row>
    <row r="24" spans="2:5" ht="27.75" customHeight="1" x14ac:dyDescent="0.35">
      <c r="B24" s="24">
        <v>5</v>
      </c>
      <c r="C24" s="25" t="s">
        <v>61</v>
      </c>
      <c r="D24" s="26" t="s">
        <v>62</v>
      </c>
      <c r="E24" s="12" t="s">
        <v>46</v>
      </c>
    </row>
    <row r="25" spans="2:5" ht="27.75" customHeight="1" x14ac:dyDescent="0.35">
      <c r="B25" s="24">
        <v>4</v>
      </c>
      <c r="C25" s="25" t="s">
        <v>63</v>
      </c>
      <c r="D25" s="26" t="s">
        <v>64</v>
      </c>
      <c r="E25" s="12"/>
    </row>
    <row r="26" spans="2:5" ht="27.75" customHeight="1" x14ac:dyDescent="0.35">
      <c r="B26" s="27">
        <v>3</v>
      </c>
      <c r="C26" s="25" t="s">
        <v>65</v>
      </c>
      <c r="D26" s="26" t="s">
        <v>66</v>
      </c>
      <c r="E26" s="12"/>
    </row>
    <row r="27" spans="2:5" ht="27.75" customHeight="1" x14ac:dyDescent="0.35">
      <c r="B27" s="28">
        <v>2</v>
      </c>
      <c r="C27" s="25" t="s">
        <v>67</v>
      </c>
      <c r="D27" s="26" t="s">
        <v>68</v>
      </c>
      <c r="E27" s="12"/>
    </row>
    <row r="28" spans="2:5" ht="27.75" customHeight="1" x14ac:dyDescent="0.35">
      <c r="B28" s="28">
        <v>1</v>
      </c>
      <c r="C28" s="25" t="s">
        <v>69</v>
      </c>
      <c r="D28" s="26" t="s">
        <v>70</v>
      </c>
      <c r="E28" s="12"/>
    </row>
    <row r="29" spans="2:5" ht="27.75" customHeight="1" x14ac:dyDescent="0.35">
      <c r="B29" s="14" t="s">
        <v>71</v>
      </c>
      <c r="C29" s="29"/>
      <c r="D29" s="14"/>
      <c r="E29" s="12"/>
    </row>
    <row r="30" spans="2:5" ht="27.75" customHeight="1" x14ac:dyDescent="0.35">
      <c r="B30" s="17" t="s">
        <v>36</v>
      </c>
      <c r="C30" s="17" t="s">
        <v>37</v>
      </c>
      <c r="D30" s="17" t="s">
        <v>7</v>
      </c>
      <c r="E30" s="12"/>
    </row>
    <row r="31" spans="2:5" ht="27.75" customHeight="1" x14ac:dyDescent="0.35">
      <c r="B31" s="18" t="s">
        <v>72</v>
      </c>
      <c r="C31" s="19">
        <v>0.6</v>
      </c>
      <c r="D31" s="20"/>
      <c r="E31" s="12"/>
    </row>
    <row r="32" spans="2:5" ht="27.75" customHeight="1" x14ac:dyDescent="0.35">
      <c r="B32" s="18" t="s">
        <v>73</v>
      </c>
      <c r="C32" s="19">
        <v>0.4</v>
      </c>
      <c r="D32" s="20"/>
      <c r="E32" s="12"/>
    </row>
    <row r="33" spans="2:5" ht="27.75" customHeight="1" x14ac:dyDescent="0.35">
      <c r="B33" s="21" t="s">
        <v>41</v>
      </c>
      <c r="C33" s="22">
        <f>SUM(C31:C32)</f>
        <v>1</v>
      </c>
      <c r="D33" s="23">
        <f>SUMPRODUCT(D31:D32,C31:C32)/SUM(C31:C32)</f>
        <v>0</v>
      </c>
      <c r="E33" s="12"/>
    </row>
    <row r="34" spans="2:5" ht="27.75" customHeight="1" x14ac:dyDescent="0.35">
      <c r="B34" s="17" t="s">
        <v>7</v>
      </c>
      <c r="C34" s="17" t="s">
        <v>74</v>
      </c>
      <c r="D34" s="17" t="s">
        <v>43</v>
      </c>
      <c r="E34" s="12"/>
    </row>
    <row r="35" spans="2:5" ht="27.75" customHeight="1" x14ac:dyDescent="0.35">
      <c r="B35" s="24">
        <v>5</v>
      </c>
      <c r="C35" s="25" t="s">
        <v>75</v>
      </c>
      <c r="D35" s="26" t="s">
        <v>76</v>
      </c>
      <c r="E35" s="12" t="s">
        <v>46</v>
      </c>
    </row>
    <row r="36" spans="2:5" ht="27.75" customHeight="1" x14ac:dyDescent="0.35">
      <c r="B36" s="24">
        <v>4</v>
      </c>
      <c r="C36" s="25" t="s">
        <v>77</v>
      </c>
      <c r="D36" s="26" t="s">
        <v>78</v>
      </c>
      <c r="E36" s="12"/>
    </row>
    <row r="37" spans="2:5" ht="27.75" customHeight="1" x14ac:dyDescent="0.35">
      <c r="B37" s="27">
        <v>3</v>
      </c>
      <c r="C37" s="25" t="s">
        <v>79</v>
      </c>
      <c r="D37" s="26" t="s">
        <v>80</v>
      </c>
      <c r="E37" s="12"/>
    </row>
    <row r="38" spans="2:5" ht="27.75" customHeight="1" x14ac:dyDescent="0.35">
      <c r="B38" s="28">
        <v>2</v>
      </c>
      <c r="C38" s="25" t="s">
        <v>81</v>
      </c>
      <c r="D38" s="26" t="s">
        <v>82</v>
      </c>
      <c r="E38" s="12"/>
    </row>
    <row r="39" spans="2:5" ht="27.75" customHeight="1" x14ac:dyDescent="0.35">
      <c r="B39" s="28">
        <v>1</v>
      </c>
      <c r="C39" s="25" t="s">
        <v>83</v>
      </c>
      <c r="D39" s="26" t="s">
        <v>84</v>
      </c>
      <c r="E39" s="12"/>
    </row>
    <row r="40" spans="2:5" ht="27.75" customHeight="1" x14ac:dyDescent="0.35">
      <c r="B40" s="17" t="s">
        <v>7</v>
      </c>
      <c r="C40" s="17" t="s">
        <v>85</v>
      </c>
      <c r="D40" s="17" t="s">
        <v>43</v>
      </c>
      <c r="E40" s="12"/>
    </row>
    <row r="41" spans="2:5" ht="27.75" customHeight="1" x14ac:dyDescent="0.35">
      <c r="B41" s="24">
        <v>5</v>
      </c>
      <c r="C41" s="25" t="s">
        <v>75</v>
      </c>
      <c r="D41" s="26" t="s">
        <v>86</v>
      </c>
      <c r="E41" s="12" t="s">
        <v>46</v>
      </c>
    </row>
    <row r="42" spans="2:5" ht="27.75" customHeight="1" x14ac:dyDescent="0.35">
      <c r="B42" s="24">
        <v>4</v>
      </c>
      <c r="C42" s="25" t="s">
        <v>77</v>
      </c>
      <c r="D42" s="26" t="s">
        <v>87</v>
      </c>
      <c r="E42" s="12"/>
    </row>
    <row r="43" spans="2:5" ht="27.75" customHeight="1" x14ac:dyDescent="0.35">
      <c r="B43" s="27">
        <v>3</v>
      </c>
      <c r="C43" s="25" t="s">
        <v>79</v>
      </c>
      <c r="D43" s="26" t="s">
        <v>88</v>
      </c>
      <c r="E43" s="12"/>
    </row>
    <row r="44" spans="2:5" ht="27.75" customHeight="1" x14ac:dyDescent="0.35">
      <c r="B44" s="28">
        <v>2</v>
      </c>
      <c r="C44" s="25" t="s">
        <v>81</v>
      </c>
      <c r="D44" s="26" t="s">
        <v>89</v>
      </c>
      <c r="E44" s="12"/>
    </row>
    <row r="45" spans="2:5" ht="27.75" customHeight="1" x14ac:dyDescent="0.35">
      <c r="B45" s="28">
        <v>1</v>
      </c>
      <c r="C45" s="25" t="s">
        <v>83</v>
      </c>
      <c r="D45" s="26" t="s">
        <v>90</v>
      </c>
      <c r="E45" s="12"/>
    </row>
    <row r="46" spans="2:5" ht="27.75" customHeight="1" x14ac:dyDescent="0.35">
      <c r="B46" s="14" t="s">
        <v>91</v>
      </c>
      <c r="C46" s="14"/>
      <c r="D46" s="14"/>
      <c r="E46" s="12"/>
    </row>
    <row r="47" spans="2:5" ht="27.75" customHeight="1" x14ac:dyDescent="0.35">
      <c r="B47" s="17" t="s">
        <v>36</v>
      </c>
      <c r="C47" s="17" t="s">
        <v>37</v>
      </c>
      <c r="D47" s="17" t="s">
        <v>7</v>
      </c>
      <c r="E47" s="12"/>
    </row>
    <row r="48" spans="2:5" ht="27.75" customHeight="1" x14ac:dyDescent="0.35">
      <c r="B48" s="18" t="s">
        <v>92</v>
      </c>
      <c r="C48" s="19">
        <v>0.6</v>
      </c>
      <c r="D48" s="20"/>
      <c r="E48" s="12"/>
    </row>
    <row r="49" spans="2:5" ht="27.75" customHeight="1" x14ac:dyDescent="0.35">
      <c r="B49" s="18" t="s">
        <v>93</v>
      </c>
      <c r="C49" s="19">
        <v>0.4</v>
      </c>
      <c r="D49" s="20"/>
      <c r="E49" s="12"/>
    </row>
    <row r="50" spans="2:5" ht="27.75" customHeight="1" x14ac:dyDescent="0.35">
      <c r="B50" s="21" t="s">
        <v>41</v>
      </c>
      <c r="C50" s="22">
        <f>SUM(C48:C49)</f>
        <v>1</v>
      </c>
      <c r="D50" s="23">
        <f>SUMPRODUCT(D48:D49,C48:C49)/SUM(C48:C49)</f>
        <v>0</v>
      </c>
      <c r="E50" s="12"/>
    </row>
    <row r="51" spans="2:5" ht="27.75" customHeight="1" x14ac:dyDescent="0.35">
      <c r="B51" s="17" t="s">
        <v>7</v>
      </c>
      <c r="C51" s="17" t="s">
        <v>94</v>
      </c>
      <c r="D51" s="17" t="s">
        <v>43</v>
      </c>
      <c r="E51" s="12"/>
    </row>
    <row r="52" spans="2:5" ht="27.75" customHeight="1" x14ac:dyDescent="0.35">
      <c r="B52" s="24">
        <v>5</v>
      </c>
      <c r="C52" s="25" t="s">
        <v>95</v>
      </c>
      <c r="D52" s="26" t="s">
        <v>96</v>
      </c>
      <c r="E52" s="12" t="s">
        <v>46</v>
      </c>
    </row>
    <row r="53" spans="2:5" ht="27.75" customHeight="1" x14ac:dyDescent="0.35">
      <c r="B53" s="24">
        <v>4</v>
      </c>
      <c r="C53" s="25" t="s">
        <v>97</v>
      </c>
      <c r="D53" s="26" t="s">
        <v>98</v>
      </c>
      <c r="E53" s="12"/>
    </row>
    <row r="54" spans="2:5" ht="27.75" customHeight="1" x14ac:dyDescent="0.35">
      <c r="B54" s="27">
        <v>3</v>
      </c>
      <c r="C54" s="25" t="s">
        <v>99</v>
      </c>
      <c r="D54" s="26" t="s">
        <v>100</v>
      </c>
      <c r="E54" s="12"/>
    </row>
    <row r="55" spans="2:5" ht="27.75" customHeight="1" x14ac:dyDescent="0.35">
      <c r="B55" s="28">
        <v>2</v>
      </c>
      <c r="C55" s="25" t="s">
        <v>101</v>
      </c>
      <c r="D55" s="26" t="s">
        <v>102</v>
      </c>
      <c r="E55" s="12"/>
    </row>
    <row r="56" spans="2:5" ht="27.75" customHeight="1" x14ac:dyDescent="0.35">
      <c r="B56" s="28">
        <v>1</v>
      </c>
      <c r="C56" s="25" t="s">
        <v>103</v>
      </c>
      <c r="D56" s="26" t="s">
        <v>104</v>
      </c>
      <c r="E56" s="12"/>
    </row>
    <row r="57" spans="2:5" ht="27.75" customHeight="1" x14ac:dyDescent="0.35">
      <c r="B57" s="17" t="s">
        <v>7</v>
      </c>
      <c r="C57" s="17" t="s">
        <v>105</v>
      </c>
      <c r="D57" s="17" t="s">
        <v>43</v>
      </c>
      <c r="E57" s="12"/>
    </row>
    <row r="58" spans="2:5" ht="27.75" customHeight="1" x14ac:dyDescent="0.35">
      <c r="B58" s="24">
        <v>5</v>
      </c>
      <c r="C58" s="25" t="s">
        <v>106</v>
      </c>
      <c r="D58" s="26" t="s">
        <v>107</v>
      </c>
      <c r="E58" s="12" t="s">
        <v>46</v>
      </c>
    </row>
    <row r="59" spans="2:5" ht="27.75" customHeight="1" x14ac:dyDescent="0.35">
      <c r="B59" s="24">
        <v>4</v>
      </c>
      <c r="C59" s="25" t="s">
        <v>108</v>
      </c>
      <c r="D59" s="26" t="s">
        <v>109</v>
      </c>
      <c r="E59" s="12"/>
    </row>
    <row r="60" spans="2:5" ht="27.75" customHeight="1" x14ac:dyDescent="0.35">
      <c r="B60" s="27">
        <v>3</v>
      </c>
      <c r="C60" s="25" t="s">
        <v>110</v>
      </c>
      <c r="D60" s="26" t="s">
        <v>111</v>
      </c>
      <c r="E60" s="12"/>
    </row>
    <row r="61" spans="2:5" ht="27.75" customHeight="1" x14ac:dyDescent="0.35">
      <c r="B61" s="28">
        <v>2</v>
      </c>
      <c r="C61" s="25" t="s">
        <v>112</v>
      </c>
      <c r="D61" s="26" t="s">
        <v>113</v>
      </c>
      <c r="E61" s="12"/>
    </row>
    <row r="62" spans="2:5" ht="27.75" customHeight="1" x14ac:dyDescent="0.35">
      <c r="B62" s="28">
        <v>1</v>
      </c>
      <c r="C62" s="25" t="s">
        <v>114</v>
      </c>
      <c r="D62" s="26" t="s">
        <v>115</v>
      </c>
      <c r="E62" s="12"/>
    </row>
    <row r="63" spans="2:5" ht="27.75" customHeight="1" x14ac:dyDescent="0.35">
      <c r="B63" s="14" t="s">
        <v>116</v>
      </c>
      <c r="C63" s="14"/>
      <c r="D63" s="14"/>
      <c r="E63" s="12"/>
    </row>
    <row r="64" spans="2:5" ht="27.75" customHeight="1" x14ac:dyDescent="0.35">
      <c r="B64" s="17" t="s">
        <v>36</v>
      </c>
      <c r="C64" s="17" t="s">
        <v>37</v>
      </c>
      <c r="D64" s="17" t="s">
        <v>7</v>
      </c>
      <c r="E64" s="12"/>
    </row>
    <row r="65" spans="2:5" ht="27.75" customHeight="1" x14ac:dyDescent="0.35">
      <c r="B65" s="18" t="s">
        <v>117</v>
      </c>
      <c r="C65" s="19">
        <v>0.5</v>
      </c>
      <c r="D65" s="20"/>
      <c r="E65" s="12"/>
    </row>
    <row r="66" spans="2:5" ht="27.75" customHeight="1" x14ac:dyDescent="0.35">
      <c r="B66" s="18" t="s">
        <v>118</v>
      </c>
      <c r="C66" s="19">
        <f>1-C65</f>
        <v>0.5</v>
      </c>
      <c r="D66" s="20"/>
      <c r="E66" s="12"/>
    </row>
    <row r="67" spans="2:5" ht="27.75" customHeight="1" x14ac:dyDescent="0.35">
      <c r="B67" s="21" t="s">
        <v>41</v>
      </c>
      <c r="C67" s="22">
        <f>SUM(C65:C66)</f>
        <v>1</v>
      </c>
      <c r="D67" s="23">
        <f>SUMPRODUCT(D65:D66,C65:C66)/SUM(C65:C66)</f>
        <v>0</v>
      </c>
      <c r="E67" s="12"/>
    </row>
    <row r="68" spans="2:5" ht="27.75" customHeight="1" x14ac:dyDescent="0.35">
      <c r="B68" s="17" t="s">
        <v>7</v>
      </c>
      <c r="C68" s="17" t="s">
        <v>117</v>
      </c>
      <c r="D68" s="17" t="s">
        <v>43</v>
      </c>
      <c r="E68" s="12"/>
    </row>
    <row r="69" spans="2:5" ht="27.75" customHeight="1" x14ac:dyDescent="0.35">
      <c r="B69" s="24">
        <v>5</v>
      </c>
      <c r="C69" s="25" t="s">
        <v>119</v>
      </c>
      <c r="D69" s="30" t="s">
        <v>120</v>
      </c>
      <c r="E69" s="12" t="s">
        <v>46</v>
      </c>
    </row>
    <row r="70" spans="2:5" ht="27.75" customHeight="1" x14ac:dyDescent="0.35">
      <c r="B70" s="24">
        <v>4</v>
      </c>
      <c r="C70" s="25" t="s">
        <v>380</v>
      </c>
      <c r="D70" s="30" t="s">
        <v>121</v>
      </c>
      <c r="E70" s="12"/>
    </row>
    <row r="71" spans="2:5" ht="27.75" customHeight="1" x14ac:dyDescent="0.35">
      <c r="B71" s="27">
        <v>3</v>
      </c>
      <c r="C71" s="25" t="s">
        <v>386</v>
      </c>
      <c r="D71" s="30" t="s">
        <v>122</v>
      </c>
      <c r="E71" s="12"/>
    </row>
    <row r="72" spans="2:5" ht="27.75" customHeight="1" x14ac:dyDescent="0.35">
      <c r="B72" s="28">
        <v>2</v>
      </c>
      <c r="C72" s="25" t="s">
        <v>387</v>
      </c>
      <c r="D72" s="30" t="s">
        <v>123</v>
      </c>
      <c r="E72" s="12"/>
    </row>
    <row r="73" spans="2:5" ht="27.75" customHeight="1" x14ac:dyDescent="0.35">
      <c r="B73" s="28">
        <v>1</v>
      </c>
      <c r="C73" s="25" t="s">
        <v>388</v>
      </c>
      <c r="D73" s="30" t="s">
        <v>124</v>
      </c>
      <c r="E73" s="12"/>
    </row>
    <row r="74" spans="2:5" ht="27.75" customHeight="1" x14ac:dyDescent="0.35">
      <c r="B74" s="17" t="s">
        <v>7</v>
      </c>
      <c r="C74" s="17" t="s">
        <v>118</v>
      </c>
      <c r="D74" s="17" t="s">
        <v>43</v>
      </c>
      <c r="E74" s="12"/>
    </row>
    <row r="75" spans="2:5" ht="27.75" customHeight="1" x14ac:dyDescent="0.35">
      <c r="B75" s="24">
        <v>5</v>
      </c>
      <c r="C75" s="25" t="s">
        <v>125</v>
      </c>
      <c r="D75" s="30" t="s">
        <v>126</v>
      </c>
      <c r="E75" s="12" t="s">
        <v>46</v>
      </c>
    </row>
    <row r="76" spans="2:5" ht="27.75" customHeight="1" x14ac:dyDescent="0.35">
      <c r="B76" s="24">
        <v>4</v>
      </c>
      <c r="C76" s="25" t="s">
        <v>127</v>
      </c>
      <c r="D76" s="30" t="s">
        <v>128</v>
      </c>
      <c r="E76" s="12"/>
    </row>
    <row r="77" spans="2:5" ht="27.75" customHeight="1" x14ac:dyDescent="0.35">
      <c r="B77" s="27">
        <v>3</v>
      </c>
      <c r="C77" s="25" t="s">
        <v>129</v>
      </c>
      <c r="D77" s="30" t="s">
        <v>130</v>
      </c>
      <c r="E77" s="12"/>
    </row>
    <row r="78" spans="2:5" ht="27.75" customHeight="1" x14ac:dyDescent="0.35">
      <c r="B78" s="28">
        <v>2</v>
      </c>
      <c r="C78" s="25" t="s">
        <v>131</v>
      </c>
      <c r="D78" s="30" t="s">
        <v>132</v>
      </c>
      <c r="E78" s="12"/>
    </row>
    <row r="79" spans="2:5" ht="27.75" customHeight="1" x14ac:dyDescent="0.35">
      <c r="B79" s="28">
        <v>1</v>
      </c>
      <c r="C79" s="25" t="s">
        <v>133</v>
      </c>
      <c r="D79" s="30" t="s">
        <v>134</v>
      </c>
      <c r="E79" s="12"/>
    </row>
    <row r="80" spans="2:5" ht="27.75" customHeight="1" x14ac:dyDescent="0.35">
      <c r="B80" s="14" t="s">
        <v>135</v>
      </c>
      <c r="C80" s="14"/>
      <c r="D80" s="14"/>
      <c r="E80" s="12"/>
    </row>
    <row r="81" spans="2:5" ht="27.75" customHeight="1" x14ac:dyDescent="0.35">
      <c r="B81" s="17" t="s">
        <v>7</v>
      </c>
      <c r="C81" s="17" t="s">
        <v>136</v>
      </c>
      <c r="D81" s="17" t="s">
        <v>43</v>
      </c>
      <c r="E81" s="12"/>
    </row>
    <row r="82" spans="2:5" ht="27.75" customHeight="1" x14ac:dyDescent="0.35">
      <c r="B82" s="24">
        <v>5</v>
      </c>
      <c r="C82" s="25" t="s">
        <v>137</v>
      </c>
      <c r="D82" s="26" t="s">
        <v>138</v>
      </c>
      <c r="E82" s="12" t="s">
        <v>46</v>
      </c>
    </row>
    <row r="83" spans="2:5" ht="27.75" customHeight="1" x14ac:dyDescent="0.35">
      <c r="B83" s="24">
        <v>4</v>
      </c>
      <c r="C83" s="25" t="s">
        <v>139</v>
      </c>
      <c r="D83" s="26" t="s">
        <v>140</v>
      </c>
      <c r="E83" s="12" t="s">
        <v>141</v>
      </c>
    </row>
    <row r="84" spans="2:5" ht="27.75" customHeight="1" x14ac:dyDescent="0.35">
      <c r="B84" s="27">
        <v>3</v>
      </c>
      <c r="C84" s="25" t="s">
        <v>142</v>
      </c>
      <c r="D84" s="26" t="s">
        <v>143</v>
      </c>
      <c r="E84" s="12"/>
    </row>
    <row r="85" spans="2:5" ht="27.75" customHeight="1" x14ac:dyDescent="0.35">
      <c r="B85" s="28">
        <v>2</v>
      </c>
      <c r="C85" s="25" t="s">
        <v>144</v>
      </c>
      <c r="D85" s="26" t="s">
        <v>145</v>
      </c>
      <c r="E85" s="12"/>
    </row>
    <row r="86" spans="2:5" ht="27.75" customHeight="1" x14ac:dyDescent="0.35">
      <c r="B86" s="28">
        <v>1</v>
      </c>
      <c r="C86" s="25" t="s">
        <v>146</v>
      </c>
      <c r="D86" s="26" t="s">
        <v>147</v>
      </c>
      <c r="E86" s="12"/>
    </row>
    <row r="87" spans="2:5" ht="27.75" customHeight="1" x14ac:dyDescent="0.35">
      <c r="B87" s="13" t="s">
        <v>148</v>
      </c>
      <c r="C87" s="13"/>
      <c r="D87" s="13"/>
      <c r="E87" s="12"/>
    </row>
    <row r="88" spans="2:5" ht="27.75" customHeight="1" x14ac:dyDescent="0.35">
      <c r="B88" s="14" t="s">
        <v>149</v>
      </c>
      <c r="C88" s="14"/>
      <c r="D88" s="14"/>
      <c r="E88" s="12"/>
    </row>
    <row r="89" spans="2:5" ht="27.75" customHeight="1" x14ac:dyDescent="0.35">
      <c r="B89" s="17" t="s">
        <v>7</v>
      </c>
      <c r="C89" s="17" t="s">
        <v>150</v>
      </c>
      <c r="D89" s="17" t="s">
        <v>43</v>
      </c>
      <c r="E89" s="12"/>
    </row>
    <row r="90" spans="2:5" ht="27.75" customHeight="1" x14ac:dyDescent="0.35">
      <c r="B90" s="24">
        <v>5</v>
      </c>
      <c r="C90" s="25" t="s">
        <v>151</v>
      </c>
      <c r="D90" s="26" t="s">
        <v>152</v>
      </c>
      <c r="E90" s="12" t="s">
        <v>412</v>
      </c>
    </row>
    <row r="91" spans="2:5" ht="27.75" customHeight="1" x14ac:dyDescent="0.35">
      <c r="B91" s="24">
        <v>4</v>
      </c>
      <c r="C91" s="25" t="s">
        <v>153</v>
      </c>
      <c r="D91" s="26" t="s">
        <v>154</v>
      </c>
      <c r="E91" s="12" t="s">
        <v>155</v>
      </c>
    </row>
    <row r="92" spans="2:5" ht="27.75" customHeight="1" x14ac:dyDescent="0.35">
      <c r="B92" s="27">
        <v>3</v>
      </c>
      <c r="C92" s="25" t="s">
        <v>156</v>
      </c>
      <c r="D92" s="26" t="s">
        <v>157</v>
      </c>
      <c r="E92" s="12"/>
    </row>
    <row r="93" spans="2:5" ht="27.75" customHeight="1" x14ac:dyDescent="0.35">
      <c r="B93" s="28">
        <v>2</v>
      </c>
      <c r="C93" s="25" t="s">
        <v>158</v>
      </c>
      <c r="D93" s="26" t="s">
        <v>159</v>
      </c>
      <c r="E93" s="12"/>
    </row>
    <row r="94" spans="2:5" ht="27.75" customHeight="1" x14ac:dyDescent="0.35">
      <c r="B94" s="28">
        <v>1</v>
      </c>
      <c r="C94" s="25" t="s">
        <v>160</v>
      </c>
      <c r="D94" s="26" t="s">
        <v>161</v>
      </c>
      <c r="E94" s="12"/>
    </row>
    <row r="95" spans="2:5" ht="27.75" customHeight="1" x14ac:dyDescent="0.35">
      <c r="B95" s="14" t="s">
        <v>162</v>
      </c>
      <c r="C95" s="14"/>
      <c r="D95" s="14"/>
      <c r="E95" s="12"/>
    </row>
    <row r="96" spans="2:5" ht="27.75" customHeight="1" x14ac:dyDescent="0.35">
      <c r="B96" s="17" t="s">
        <v>7</v>
      </c>
      <c r="C96" s="17" t="s">
        <v>163</v>
      </c>
      <c r="D96" s="17" t="s">
        <v>43</v>
      </c>
      <c r="E96" s="12"/>
    </row>
    <row r="97" spans="2:5" ht="27.75" customHeight="1" x14ac:dyDescent="0.35">
      <c r="B97" s="24">
        <v>5</v>
      </c>
      <c r="C97" s="25" t="s">
        <v>164</v>
      </c>
      <c r="D97" s="30" t="s">
        <v>165</v>
      </c>
      <c r="E97" s="12" t="s">
        <v>412</v>
      </c>
    </row>
    <row r="98" spans="2:5" ht="27.75" customHeight="1" x14ac:dyDescent="0.35">
      <c r="B98" s="24">
        <v>4</v>
      </c>
      <c r="C98" s="25" t="s">
        <v>166</v>
      </c>
      <c r="D98" s="30" t="s">
        <v>167</v>
      </c>
      <c r="E98" s="12" t="s">
        <v>168</v>
      </c>
    </row>
    <row r="99" spans="2:5" ht="27.75" customHeight="1" x14ac:dyDescent="0.35">
      <c r="B99" s="27">
        <v>3</v>
      </c>
      <c r="C99" s="25" t="s">
        <v>169</v>
      </c>
      <c r="D99" s="30" t="s">
        <v>170</v>
      </c>
      <c r="E99" s="12"/>
    </row>
    <row r="100" spans="2:5" ht="27.75" customHeight="1" x14ac:dyDescent="0.35">
      <c r="B100" s="28">
        <v>2</v>
      </c>
      <c r="C100" s="25" t="s">
        <v>171</v>
      </c>
      <c r="D100" s="30" t="s">
        <v>172</v>
      </c>
      <c r="E100" s="12"/>
    </row>
    <row r="101" spans="2:5" ht="27.75" customHeight="1" x14ac:dyDescent="0.35">
      <c r="B101" s="28">
        <v>1</v>
      </c>
      <c r="C101" s="25" t="s">
        <v>173</v>
      </c>
      <c r="D101" s="30" t="s">
        <v>174</v>
      </c>
      <c r="E101" s="12"/>
    </row>
    <row r="102" spans="2:5" ht="27.75" customHeight="1" x14ac:dyDescent="0.35">
      <c r="B102" s="14" t="s">
        <v>175</v>
      </c>
      <c r="C102" s="14"/>
      <c r="D102" s="14"/>
      <c r="E102" s="12"/>
    </row>
    <row r="103" spans="2:5" ht="27.75" customHeight="1" x14ac:dyDescent="0.35">
      <c r="B103" s="17" t="s">
        <v>7</v>
      </c>
      <c r="C103" s="17" t="s">
        <v>176</v>
      </c>
      <c r="D103" s="17" t="s">
        <v>43</v>
      </c>
      <c r="E103" s="12"/>
    </row>
    <row r="104" spans="2:5" ht="27.75" customHeight="1" x14ac:dyDescent="0.35">
      <c r="B104" s="24">
        <v>5</v>
      </c>
      <c r="C104" s="25" t="s">
        <v>177</v>
      </c>
      <c r="D104" s="30" t="s">
        <v>178</v>
      </c>
      <c r="E104" s="12" t="s">
        <v>46</v>
      </c>
    </row>
    <row r="105" spans="2:5" ht="27.75" customHeight="1" x14ac:dyDescent="0.35">
      <c r="B105" s="24">
        <v>4</v>
      </c>
      <c r="C105" s="25" t="s">
        <v>179</v>
      </c>
      <c r="D105" s="30" t="s">
        <v>180</v>
      </c>
      <c r="E105" s="12" t="s">
        <v>181</v>
      </c>
    </row>
    <row r="106" spans="2:5" ht="27.75" customHeight="1" x14ac:dyDescent="0.35">
      <c r="B106" s="27">
        <v>3</v>
      </c>
      <c r="C106" s="25" t="s">
        <v>182</v>
      </c>
      <c r="D106" s="30" t="s">
        <v>183</v>
      </c>
      <c r="E106" s="12"/>
    </row>
    <row r="107" spans="2:5" ht="27.75" customHeight="1" x14ac:dyDescent="0.35">
      <c r="B107" s="28">
        <v>2</v>
      </c>
      <c r="C107" s="25" t="s">
        <v>184</v>
      </c>
      <c r="D107" s="30" t="s">
        <v>185</v>
      </c>
      <c r="E107" s="12"/>
    </row>
    <row r="108" spans="2:5" ht="27.75" customHeight="1" x14ac:dyDescent="0.35">
      <c r="B108" s="28">
        <v>1</v>
      </c>
      <c r="C108" s="25" t="s">
        <v>186</v>
      </c>
      <c r="D108" s="30" t="s">
        <v>187</v>
      </c>
      <c r="E108" s="12"/>
    </row>
    <row r="109" spans="2:5" ht="27.75" customHeight="1" x14ac:dyDescent="0.35">
      <c r="B109" s="14" t="s">
        <v>188</v>
      </c>
      <c r="C109" s="14"/>
      <c r="D109" s="14"/>
      <c r="E109" s="12"/>
    </row>
    <row r="110" spans="2:5" ht="27.75" customHeight="1" x14ac:dyDescent="0.35">
      <c r="B110" s="17" t="s">
        <v>36</v>
      </c>
      <c r="C110" s="17" t="s">
        <v>37</v>
      </c>
      <c r="D110" s="17" t="s">
        <v>7</v>
      </c>
      <c r="E110" s="12"/>
    </row>
    <row r="111" spans="2:5" ht="27.75" customHeight="1" x14ac:dyDescent="0.35">
      <c r="B111" s="18" t="s">
        <v>189</v>
      </c>
      <c r="C111" s="19">
        <v>0.16666666666666699</v>
      </c>
      <c r="D111" s="20"/>
      <c r="E111" s="12"/>
    </row>
    <row r="112" spans="2:5" ht="27.75" customHeight="1" x14ac:dyDescent="0.35">
      <c r="B112" s="18" t="s">
        <v>190</v>
      </c>
      <c r="C112" s="19">
        <v>0.16666666666666699</v>
      </c>
      <c r="D112" s="20"/>
      <c r="E112" s="12"/>
    </row>
    <row r="113" spans="2:5" ht="27.75" customHeight="1" x14ac:dyDescent="0.35">
      <c r="B113" s="18" t="s">
        <v>191</v>
      </c>
      <c r="C113" s="19">
        <v>0.16666666666666699</v>
      </c>
      <c r="D113" s="20"/>
      <c r="E113" s="12"/>
    </row>
    <row r="114" spans="2:5" ht="27.75" customHeight="1" x14ac:dyDescent="0.35">
      <c r="B114" s="18" t="s">
        <v>192</v>
      </c>
      <c r="C114" s="19">
        <v>0.16666666666666699</v>
      </c>
      <c r="D114" s="20"/>
      <c r="E114" s="12"/>
    </row>
    <row r="115" spans="2:5" ht="27.75" customHeight="1" x14ac:dyDescent="0.35">
      <c r="B115" s="18" t="s">
        <v>193</v>
      </c>
      <c r="C115" s="19">
        <v>0.16666666666666699</v>
      </c>
      <c r="D115" s="20"/>
      <c r="E115" s="12"/>
    </row>
    <row r="116" spans="2:5" ht="27.75" customHeight="1" x14ac:dyDescent="0.35">
      <c r="B116" s="18" t="s">
        <v>194</v>
      </c>
      <c r="C116" s="19">
        <v>0.16666666666666699</v>
      </c>
      <c r="D116" s="20"/>
      <c r="E116" s="12"/>
    </row>
    <row r="117" spans="2:5" ht="27.75" customHeight="1" x14ac:dyDescent="0.35">
      <c r="B117" s="21" t="s">
        <v>41</v>
      </c>
      <c r="C117" s="22">
        <f>SUM(C111:C116)</f>
        <v>1.000000000000002</v>
      </c>
      <c r="D117" s="23">
        <f>SUMPRODUCT(D111:D116,C111:C116)/SUM(C111:C116)</f>
        <v>0</v>
      </c>
      <c r="E117" s="12"/>
    </row>
    <row r="118" spans="2:5" ht="27.75" customHeight="1" x14ac:dyDescent="0.35">
      <c r="B118" s="17" t="s">
        <v>7</v>
      </c>
      <c r="C118" s="17" t="s">
        <v>93</v>
      </c>
      <c r="D118" s="17" t="s">
        <v>43</v>
      </c>
      <c r="E118" s="12"/>
    </row>
    <row r="119" spans="2:5" ht="27.75" customHeight="1" x14ac:dyDescent="0.35">
      <c r="B119" s="24">
        <v>5</v>
      </c>
      <c r="C119" s="25" t="s">
        <v>195</v>
      </c>
      <c r="D119" s="30" t="s">
        <v>196</v>
      </c>
      <c r="E119" s="12" t="s">
        <v>46</v>
      </c>
    </row>
    <row r="120" spans="2:5" ht="27.75" customHeight="1" x14ac:dyDescent="0.35">
      <c r="B120" s="24">
        <v>4</v>
      </c>
      <c r="C120" s="25" t="s">
        <v>377</v>
      </c>
      <c r="D120" s="30" t="s">
        <v>197</v>
      </c>
      <c r="E120" s="12"/>
    </row>
    <row r="121" spans="2:5" ht="27.75" customHeight="1" x14ac:dyDescent="0.35">
      <c r="B121" s="27">
        <v>3</v>
      </c>
      <c r="C121" s="25" t="s">
        <v>378</v>
      </c>
      <c r="D121" s="30" t="s">
        <v>198</v>
      </c>
      <c r="E121" s="12"/>
    </row>
    <row r="122" spans="2:5" ht="27.75" customHeight="1" x14ac:dyDescent="0.35">
      <c r="B122" s="28">
        <v>2</v>
      </c>
      <c r="C122" s="25" t="s">
        <v>379</v>
      </c>
      <c r="D122" s="30" t="s">
        <v>199</v>
      </c>
      <c r="E122" s="12"/>
    </row>
    <row r="123" spans="2:5" ht="27.75" customHeight="1" x14ac:dyDescent="0.35">
      <c r="B123" s="28">
        <v>1</v>
      </c>
      <c r="C123" s="25" t="s">
        <v>200</v>
      </c>
      <c r="D123" s="30" t="s">
        <v>201</v>
      </c>
      <c r="E123" s="12"/>
    </row>
    <row r="124" spans="2:5" ht="27.75" customHeight="1" x14ac:dyDescent="0.35">
      <c r="B124" s="17" t="s">
        <v>7</v>
      </c>
      <c r="C124" s="17" t="s">
        <v>202</v>
      </c>
      <c r="D124" s="17" t="s">
        <v>43</v>
      </c>
      <c r="E124" s="12"/>
    </row>
    <row r="125" spans="2:5" ht="27.75" customHeight="1" x14ac:dyDescent="0.35">
      <c r="B125" s="24">
        <v>5</v>
      </c>
      <c r="C125" s="25" t="s">
        <v>125</v>
      </c>
      <c r="D125" s="30" t="s">
        <v>126</v>
      </c>
      <c r="E125" s="12" t="s">
        <v>46</v>
      </c>
    </row>
    <row r="126" spans="2:5" ht="27.75" customHeight="1" x14ac:dyDescent="0.35">
      <c r="B126" s="24">
        <v>4</v>
      </c>
      <c r="C126" s="25" t="s">
        <v>127</v>
      </c>
      <c r="D126" s="30" t="s">
        <v>128</v>
      </c>
      <c r="E126" s="12"/>
    </row>
    <row r="127" spans="2:5" ht="27.75" customHeight="1" x14ac:dyDescent="0.35">
      <c r="B127" s="27">
        <v>3</v>
      </c>
      <c r="C127" s="25" t="s">
        <v>129</v>
      </c>
      <c r="D127" s="30" t="s">
        <v>130</v>
      </c>
      <c r="E127" s="12"/>
    </row>
    <row r="128" spans="2:5" ht="27.75" customHeight="1" x14ac:dyDescent="0.35">
      <c r="B128" s="28">
        <v>2</v>
      </c>
      <c r="C128" s="25" t="s">
        <v>131</v>
      </c>
      <c r="D128" s="30" t="s">
        <v>132</v>
      </c>
      <c r="E128" s="12"/>
    </row>
    <row r="129" spans="2:5" ht="27.75" customHeight="1" x14ac:dyDescent="0.35">
      <c r="B129" s="28">
        <v>1</v>
      </c>
      <c r="C129" s="25" t="s">
        <v>133</v>
      </c>
      <c r="D129" s="30" t="s">
        <v>134</v>
      </c>
      <c r="E129" s="12"/>
    </row>
    <row r="130" spans="2:5" ht="27.75" customHeight="1" x14ac:dyDescent="0.35">
      <c r="B130" s="17" t="s">
        <v>7</v>
      </c>
      <c r="C130" s="17" t="s">
        <v>203</v>
      </c>
      <c r="D130" s="17" t="s">
        <v>43</v>
      </c>
      <c r="E130" s="12"/>
    </row>
    <row r="131" spans="2:5" ht="27.75" customHeight="1" x14ac:dyDescent="0.35">
      <c r="B131" s="24">
        <v>5</v>
      </c>
      <c r="C131" s="25" t="s">
        <v>195</v>
      </c>
      <c r="D131" s="30" t="s">
        <v>196</v>
      </c>
      <c r="E131" s="12" t="s">
        <v>46</v>
      </c>
    </row>
    <row r="132" spans="2:5" ht="27.75" customHeight="1" x14ac:dyDescent="0.35">
      <c r="B132" s="24">
        <v>4</v>
      </c>
      <c r="C132" s="25" t="s">
        <v>377</v>
      </c>
      <c r="D132" s="30" t="s">
        <v>197</v>
      </c>
      <c r="E132" s="12"/>
    </row>
    <row r="133" spans="2:5" ht="27.75" customHeight="1" x14ac:dyDescent="0.35">
      <c r="B133" s="27">
        <v>3</v>
      </c>
      <c r="C133" s="25" t="s">
        <v>378</v>
      </c>
      <c r="D133" s="30" t="s">
        <v>198</v>
      </c>
      <c r="E133" s="12"/>
    </row>
    <row r="134" spans="2:5" ht="27.75" customHeight="1" x14ac:dyDescent="0.35">
      <c r="B134" s="28">
        <v>2</v>
      </c>
      <c r="C134" s="25" t="s">
        <v>379</v>
      </c>
      <c r="D134" s="30" t="s">
        <v>199</v>
      </c>
      <c r="E134" s="12"/>
    </row>
    <row r="135" spans="2:5" ht="27.75" customHeight="1" x14ac:dyDescent="0.35">
      <c r="B135" s="28">
        <v>1</v>
      </c>
      <c r="C135" s="25" t="s">
        <v>200</v>
      </c>
      <c r="D135" s="30" t="s">
        <v>201</v>
      </c>
      <c r="E135" s="12"/>
    </row>
    <row r="136" spans="2:5" ht="27.75" customHeight="1" x14ac:dyDescent="0.35">
      <c r="B136" s="17" t="s">
        <v>7</v>
      </c>
      <c r="C136" s="17" t="s">
        <v>204</v>
      </c>
      <c r="D136" s="17" t="s">
        <v>43</v>
      </c>
      <c r="E136" s="12"/>
    </row>
    <row r="137" spans="2:5" ht="27.75" customHeight="1" x14ac:dyDescent="0.35">
      <c r="B137" s="24">
        <v>5</v>
      </c>
      <c r="C137" s="25" t="s">
        <v>119</v>
      </c>
      <c r="D137" s="30" t="s">
        <v>205</v>
      </c>
      <c r="E137" s="12" t="s">
        <v>46</v>
      </c>
    </row>
    <row r="138" spans="2:5" ht="27.75" customHeight="1" x14ac:dyDescent="0.35">
      <c r="B138" s="24">
        <v>4</v>
      </c>
      <c r="C138" s="25" t="s">
        <v>380</v>
      </c>
      <c r="D138" s="30" t="s">
        <v>206</v>
      </c>
      <c r="E138" s="12"/>
    </row>
    <row r="139" spans="2:5" ht="27.75" customHeight="1" x14ac:dyDescent="0.35">
      <c r="B139" s="27">
        <v>3</v>
      </c>
      <c r="C139" s="25" t="s">
        <v>381</v>
      </c>
      <c r="D139" s="30" t="s">
        <v>207</v>
      </c>
      <c r="E139" s="12"/>
    </row>
    <row r="140" spans="2:5" ht="27.75" customHeight="1" x14ac:dyDescent="0.35">
      <c r="B140" s="28">
        <v>2</v>
      </c>
      <c r="C140" s="25" t="s">
        <v>382</v>
      </c>
      <c r="D140" s="30" t="s">
        <v>208</v>
      </c>
      <c r="E140" s="12"/>
    </row>
    <row r="141" spans="2:5" ht="27.75" customHeight="1" x14ac:dyDescent="0.35">
      <c r="B141" s="28">
        <v>1</v>
      </c>
      <c r="C141" s="25" t="s">
        <v>383</v>
      </c>
      <c r="D141" s="30" t="s">
        <v>209</v>
      </c>
      <c r="E141" s="12"/>
    </row>
    <row r="142" spans="2:5" ht="27.75" customHeight="1" x14ac:dyDescent="0.35">
      <c r="B142" s="17" t="s">
        <v>7</v>
      </c>
      <c r="C142" s="17" t="s">
        <v>210</v>
      </c>
      <c r="D142" s="17" t="s">
        <v>43</v>
      </c>
      <c r="E142" s="12"/>
    </row>
    <row r="143" spans="2:5" ht="27.75" customHeight="1" x14ac:dyDescent="0.35">
      <c r="B143" s="24">
        <v>5</v>
      </c>
      <c r="C143" s="25" t="s">
        <v>125</v>
      </c>
      <c r="D143" s="30" t="s">
        <v>126</v>
      </c>
      <c r="E143" s="12" t="s">
        <v>46</v>
      </c>
    </row>
    <row r="144" spans="2:5" ht="27.75" customHeight="1" x14ac:dyDescent="0.35">
      <c r="B144" s="24">
        <v>4</v>
      </c>
      <c r="C144" s="25" t="s">
        <v>127</v>
      </c>
      <c r="D144" s="30" t="s">
        <v>128</v>
      </c>
      <c r="E144" s="12"/>
    </row>
    <row r="145" spans="2:5" ht="27.75" customHeight="1" x14ac:dyDescent="0.35">
      <c r="B145" s="27">
        <v>3</v>
      </c>
      <c r="C145" s="25" t="s">
        <v>129</v>
      </c>
      <c r="D145" s="30" t="s">
        <v>130</v>
      </c>
      <c r="E145" s="12"/>
    </row>
    <row r="146" spans="2:5" ht="27.75" customHeight="1" x14ac:dyDescent="0.35">
      <c r="B146" s="28">
        <v>2</v>
      </c>
      <c r="C146" s="25" t="s">
        <v>131</v>
      </c>
      <c r="D146" s="30" t="s">
        <v>132</v>
      </c>
      <c r="E146" s="12"/>
    </row>
    <row r="147" spans="2:5" ht="27.75" customHeight="1" x14ac:dyDescent="0.35">
      <c r="B147" s="28">
        <v>1</v>
      </c>
      <c r="C147" s="25" t="s">
        <v>133</v>
      </c>
      <c r="D147" s="30" t="s">
        <v>134</v>
      </c>
      <c r="E147" s="12"/>
    </row>
    <row r="148" spans="2:5" ht="27.75" customHeight="1" x14ac:dyDescent="0.35">
      <c r="B148" s="17" t="s">
        <v>7</v>
      </c>
      <c r="C148" s="17" t="s">
        <v>211</v>
      </c>
      <c r="D148" s="17" t="s">
        <v>43</v>
      </c>
      <c r="E148" s="12"/>
    </row>
    <row r="149" spans="2:5" ht="27.75" customHeight="1" x14ac:dyDescent="0.35">
      <c r="B149" s="24">
        <v>5</v>
      </c>
      <c r="C149" s="25" t="s">
        <v>119</v>
      </c>
      <c r="D149" s="30" t="s">
        <v>212</v>
      </c>
      <c r="E149" s="12" t="s">
        <v>46</v>
      </c>
    </row>
    <row r="150" spans="2:5" ht="27.75" customHeight="1" x14ac:dyDescent="0.35">
      <c r="B150" s="24">
        <v>4</v>
      </c>
      <c r="C150" s="25" t="s">
        <v>380</v>
      </c>
      <c r="D150" s="30" t="s">
        <v>213</v>
      </c>
      <c r="E150" s="12"/>
    </row>
    <row r="151" spans="2:5" ht="27.75" customHeight="1" x14ac:dyDescent="0.35">
      <c r="B151" s="27">
        <v>3</v>
      </c>
      <c r="C151" s="25" t="s">
        <v>381</v>
      </c>
      <c r="D151" s="30" t="s">
        <v>214</v>
      </c>
      <c r="E151" s="12"/>
    </row>
    <row r="152" spans="2:5" ht="27.75" customHeight="1" x14ac:dyDescent="0.35">
      <c r="B152" s="28">
        <v>2</v>
      </c>
      <c r="C152" s="25" t="s">
        <v>382</v>
      </c>
      <c r="D152" s="30" t="s">
        <v>215</v>
      </c>
      <c r="E152" s="12"/>
    </row>
    <row r="153" spans="2:5" ht="27.75" customHeight="1" x14ac:dyDescent="0.35">
      <c r="B153" s="28">
        <v>1</v>
      </c>
      <c r="C153" s="25" t="s">
        <v>383</v>
      </c>
      <c r="D153" s="30" t="s">
        <v>216</v>
      </c>
      <c r="E153" s="12"/>
    </row>
    <row r="154" spans="2:5" ht="27.75" customHeight="1" x14ac:dyDescent="0.35">
      <c r="B154" s="14" t="s">
        <v>217</v>
      </c>
      <c r="C154" s="29"/>
      <c r="D154" s="14"/>
      <c r="E154" s="12"/>
    </row>
    <row r="155" spans="2:5" ht="27.75" customHeight="1" x14ac:dyDescent="0.35">
      <c r="B155" s="17" t="s">
        <v>7</v>
      </c>
      <c r="C155" s="17" t="s">
        <v>24</v>
      </c>
      <c r="D155" s="17" t="s">
        <v>43</v>
      </c>
      <c r="E155" s="12"/>
    </row>
    <row r="156" spans="2:5" ht="23" x14ac:dyDescent="0.35">
      <c r="B156" s="24">
        <v>5</v>
      </c>
      <c r="C156" s="25" t="s">
        <v>218</v>
      </c>
      <c r="D156" s="26" t="s">
        <v>219</v>
      </c>
      <c r="E156" s="12" t="s">
        <v>46</v>
      </c>
    </row>
    <row r="157" spans="2:5" ht="27.75" customHeight="1" x14ac:dyDescent="0.35">
      <c r="B157" s="24">
        <v>4</v>
      </c>
      <c r="C157" s="25" t="s">
        <v>220</v>
      </c>
      <c r="D157" s="26" t="s">
        <v>221</v>
      </c>
      <c r="E157" s="12"/>
    </row>
    <row r="158" spans="2:5" ht="27.75" customHeight="1" x14ac:dyDescent="0.35">
      <c r="B158" s="27">
        <v>3</v>
      </c>
      <c r="C158" s="25" t="s">
        <v>222</v>
      </c>
      <c r="D158" s="26" t="s">
        <v>223</v>
      </c>
      <c r="E158" s="12"/>
    </row>
    <row r="159" spans="2:5" ht="27.75" customHeight="1" x14ac:dyDescent="0.35">
      <c r="B159" s="28">
        <v>2</v>
      </c>
      <c r="C159" s="25" t="s">
        <v>224</v>
      </c>
      <c r="D159" s="26" t="s">
        <v>225</v>
      </c>
      <c r="E159" s="12"/>
    </row>
    <row r="160" spans="2:5" ht="27.75" customHeight="1" x14ac:dyDescent="0.35">
      <c r="B160" s="28">
        <v>1</v>
      </c>
      <c r="C160" s="25" t="s">
        <v>226</v>
      </c>
      <c r="D160" s="26" t="s">
        <v>227</v>
      </c>
      <c r="E160" s="12"/>
    </row>
    <row r="161" spans="2:5" ht="27.75" customHeight="1" x14ac:dyDescent="0.35">
      <c r="B161" s="13" t="s">
        <v>228</v>
      </c>
      <c r="C161" s="13"/>
      <c r="D161" s="13"/>
      <c r="E161" s="12"/>
    </row>
    <row r="162" spans="2:5" ht="27.75" customHeight="1" x14ac:dyDescent="0.35">
      <c r="B162" s="14" t="s">
        <v>229</v>
      </c>
      <c r="C162" s="14"/>
      <c r="D162" s="14"/>
      <c r="E162" s="12"/>
    </row>
    <row r="163" spans="2:5" ht="27.75" customHeight="1" x14ac:dyDescent="0.35">
      <c r="B163" s="17" t="s">
        <v>7</v>
      </c>
      <c r="C163" s="17" t="s">
        <v>230</v>
      </c>
      <c r="D163" s="17" t="s">
        <v>43</v>
      </c>
      <c r="E163" s="12"/>
    </row>
    <row r="164" spans="2:5" ht="27.75" customHeight="1" x14ac:dyDescent="0.35">
      <c r="B164" s="24">
        <v>5</v>
      </c>
      <c r="C164" s="25" t="s">
        <v>231</v>
      </c>
      <c r="D164" s="30" t="s">
        <v>232</v>
      </c>
      <c r="E164" s="12" t="s">
        <v>46</v>
      </c>
    </row>
    <row r="165" spans="2:5" ht="27.75" customHeight="1" x14ac:dyDescent="0.35">
      <c r="B165" s="24">
        <v>4</v>
      </c>
      <c r="C165" s="25" t="s">
        <v>233</v>
      </c>
      <c r="D165" s="30" t="s">
        <v>234</v>
      </c>
      <c r="E165" s="12"/>
    </row>
    <row r="166" spans="2:5" ht="27.75" customHeight="1" x14ac:dyDescent="0.35">
      <c r="B166" s="27">
        <v>3</v>
      </c>
      <c r="C166" s="25" t="s">
        <v>235</v>
      </c>
      <c r="D166" s="30" t="s">
        <v>236</v>
      </c>
      <c r="E166" s="12"/>
    </row>
    <row r="167" spans="2:5" ht="27.75" customHeight="1" x14ac:dyDescent="0.35">
      <c r="B167" s="28">
        <v>2</v>
      </c>
      <c r="C167" s="25" t="s">
        <v>237</v>
      </c>
      <c r="D167" s="30" t="s">
        <v>238</v>
      </c>
      <c r="E167" s="12"/>
    </row>
    <row r="168" spans="2:5" ht="27.75" customHeight="1" x14ac:dyDescent="0.35">
      <c r="B168" s="28">
        <v>1</v>
      </c>
      <c r="C168" s="25" t="s">
        <v>239</v>
      </c>
      <c r="D168" s="30" t="s">
        <v>240</v>
      </c>
      <c r="E168" s="12"/>
    </row>
    <row r="169" spans="2:5" ht="27.75" customHeight="1" x14ac:dyDescent="0.35">
      <c r="B169" s="14" t="s">
        <v>241</v>
      </c>
      <c r="C169" s="14"/>
      <c r="D169" s="14"/>
      <c r="E169" s="12"/>
    </row>
    <row r="170" spans="2:5" ht="27.75" customHeight="1" x14ac:dyDescent="0.35">
      <c r="B170" s="17" t="s">
        <v>7</v>
      </c>
      <c r="C170" s="31" t="s">
        <v>242</v>
      </c>
      <c r="D170" s="17" t="s">
        <v>43</v>
      </c>
      <c r="E170" s="12" t="s">
        <v>243</v>
      </c>
    </row>
    <row r="171" spans="2:5" ht="27.75" customHeight="1" x14ac:dyDescent="0.35">
      <c r="B171" s="24">
        <v>5</v>
      </c>
      <c r="C171" s="25" t="s">
        <v>244</v>
      </c>
      <c r="D171" s="30" t="s">
        <v>245</v>
      </c>
      <c r="E171" s="12" t="s">
        <v>46</v>
      </c>
    </row>
    <row r="172" spans="2:5" ht="27.75" customHeight="1" x14ac:dyDescent="0.35">
      <c r="B172" s="24">
        <v>4</v>
      </c>
      <c r="C172" s="25" t="s">
        <v>246</v>
      </c>
      <c r="D172" s="30" t="s">
        <v>247</v>
      </c>
      <c r="E172" s="12"/>
    </row>
    <row r="173" spans="2:5" ht="27.75" customHeight="1" x14ac:dyDescent="0.35">
      <c r="B173" s="27">
        <v>3</v>
      </c>
      <c r="C173" s="25" t="s">
        <v>248</v>
      </c>
      <c r="D173" s="30" t="s">
        <v>249</v>
      </c>
      <c r="E173" s="12"/>
    </row>
    <row r="174" spans="2:5" ht="27.75" customHeight="1" x14ac:dyDescent="0.35">
      <c r="B174" s="28">
        <v>2</v>
      </c>
      <c r="C174" s="25" t="s">
        <v>250</v>
      </c>
      <c r="D174" s="30" t="s">
        <v>251</v>
      </c>
      <c r="E174" s="12"/>
    </row>
    <row r="175" spans="2:5" ht="27.75" customHeight="1" x14ac:dyDescent="0.35">
      <c r="B175" s="28">
        <v>1</v>
      </c>
      <c r="C175" s="25" t="s">
        <v>252</v>
      </c>
      <c r="D175" s="30" t="s">
        <v>253</v>
      </c>
      <c r="E175" s="12"/>
    </row>
    <row r="176" spans="2:5" ht="27.75" customHeight="1" x14ac:dyDescent="0.35">
      <c r="B176" s="32" t="s">
        <v>254</v>
      </c>
      <c r="C176" s="14"/>
      <c r="D176" s="14"/>
      <c r="E176" s="12"/>
    </row>
    <row r="177" spans="2:5" ht="27.75" customHeight="1" x14ac:dyDescent="0.35">
      <c r="B177" s="17" t="s">
        <v>7</v>
      </c>
      <c r="C177" s="17" t="s">
        <v>255</v>
      </c>
      <c r="D177" s="17" t="s">
        <v>43</v>
      </c>
      <c r="E177" s="12"/>
    </row>
    <row r="178" spans="2:5" ht="27.75" customHeight="1" x14ac:dyDescent="0.35">
      <c r="B178" s="24">
        <v>5</v>
      </c>
      <c r="C178" s="25" t="s">
        <v>256</v>
      </c>
      <c r="D178" s="26" t="s">
        <v>257</v>
      </c>
      <c r="E178" s="12" t="s">
        <v>46</v>
      </c>
    </row>
    <row r="179" spans="2:5" ht="27.75" customHeight="1" x14ac:dyDescent="0.35">
      <c r="B179" s="24">
        <v>4</v>
      </c>
      <c r="C179" s="25" t="s">
        <v>258</v>
      </c>
      <c r="D179" s="26" t="s">
        <v>259</v>
      </c>
      <c r="E179" s="12"/>
    </row>
    <row r="180" spans="2:5" ht="27.75" customHeight="1" x14ac:dyDescent="0.35">
      <c r="B180" s="27">
        <v>3</v>
      </c>
      <c r="C180" s="25" t="s">
        <v>260</v>
      </c>
      <c r="D180" s="26" t="s">
        <v>261</v>
      </c>
      <c r="E180" s="12"/>
    </row>
    <row r="181" spans="2:5" ht="27.75" customHeight="1" x14ac:dyDescent="0.35">
      <c r="B181" s="28">
        <v>2</v>
      </c>
      <c r="C181" s="25" t="s">
        <v>262</v>
      </c>
      <c r="D181" s="26" t="s">
        <v>263</v>
      </c>
      <c r="E181" s="12"/>
    </row>
    <row r="182" spans="2:5" ht="27.75" customHeight="1" x14ac:dyDescent="0.35">
      <c r="B182" s="28">
        <v>1</v>
      </c>
      <c r="C182" s="25" t="s">
        <v>264</v>
      </c>
      <c r="D182" s="26" t="s">
        <v>265</v>
      </c>
      <c r="E182" s="12"/>
    </row>
    <row r="183" spans="2:5" ht="27.75" customHeight="1" x14ac:dyDescent="0.35">
      <c r="B183" s="13" t="s">
        <v>266</v>
      </c>
      <c r="C183" s="13"/>
      <c r="D183" s="13"/>
      <c r="E183" s="12"/>
    </row>
    <row r="184" spans="2:5" ht="27.75" customHeight="1" x14ac:dyDescent="0.35">
      <c r="B184" s="14" t="s">
        <v>267</v>
      </c>
      <c r="C184" s="14"/>
      <c r="D184" s="14"/>
      <c r="E184" s="12"/>
    </row>
    <row r="185" spans="2:5" ht="27.75" customHeight="1" x14ac:dyDescent="0.35">
      <c r="B185" s="17" t="s">
        <v>7</v>
      </c>
      <c r="C185" s="17" t="s">
        <v>268</v>
      </c>
      <c r="D185" s="17" t="s">
        <v>43</v>
      </c>
      <c r="E185" s="12"/>
    </row>
    <row r="186" spans="2:5" ht="27.75" customHeight="1" x14ac:dyDescent="0.35">
      <c r="B186" s="24">
        <v>5</v>
      </c>
      <c r="C186" s="25" t="s">
        <v>269</v>
      </c>
      <c r="D186" s="26" t="s">
        <v>270</v>
      </c>
      <c r="E186" s="12" t="s">
        <v>46</v>
      </c>
    </row>
    <row r="187" spans="2:5" ht="27.75" customHeight="1" x14ac:dyDescent="0.35">
      <c r="B187" s="24">
        <v>4</v>
      </c>
      <c r="C187" s="25" t="s">
        <v>271</v>
      </c>
      <c r="D187" s="26" t="s">
        <v>272</v>
      </c>
      <c r="E187" s="12" t="s">
        <v>273</v>
      </c>
    </row>
    <row r="188" spans="2:5" ht="27.75" customHeight="1" x14ac:dyDescent="0.35">
      <c r="B188" s="27">
        <v>3</v>
      </c>
      <c r="C188" s="25" t="s">
        <v>274</v>
      </c>
      <c r="D188" s="26" t="s">
        <v>275</v>
      </c>
      <c r="E188" s="12" t="s">
        <v>276</v>
      </c>
    </row>
    <row r="189" spans="2:5" ht="27.75" customHeight="1" x14ac:dyDescent="0.35">
      <c r="B189" s="28">
        <v>2</v>
      </c>
      <c r="C189" s="25" t="s">
        <v>277</v>
      </c>
      <c r="D189" s="26" t="s">
        <v>278</v>
      </c>
    </row>
    <row r="190" spans="2:5" ht="27.75" customHeight="1" x14ac:dyDescent="0.35">
      <c r="B190" s="28">
        <v>1</v>
      </c>
      <c r="C190" s="25" t="s">
        <v>279</v>
      </c>
      <c r="D190" s="26" t="s">
        <v>280</v>
      </c>
    </row>
    <row r="191" spans="2:5" ht="27.75" customHeight="1" x14ac:dyDescent="0.35">
      <c r="B191" s="14" t="s">
        <v>281</v>
      </c>
      <c r="C191" s="14"/>
      <c r="D191" s="14"/>
    </row>
    <row r="192" spans="2:5" ht="27.75" customHeight="1" x14ac:dyDescent="0.35">
      <c r="B192" s="17" t="s">
        <v>36</v>
      </c>
      <c r="C192" s="17" t="s">
        <v>37</v>
      </c>
      <c r="D192" s="17" t="s">
        <v>7</v>
      </c>
    </row>
    <row r="193" spans="2:6" ht="27.75" customHeight="1" x14ac:dyDescent="0.35">
      <c r="B193" s="18" t="s">
        <v>282</v>
      </c>
      <c r="C193" s="19">
        <v>0.5</v>
      </c>
      <c r="D193" s="20"/>
    </row>
    <row r="194" spans="2:6" ht="27.75" customHeight="1" x14ac:dyDescent="0.35">
      <c r="B194" s="18" t="s">
        <v>283</v>
      </c>
      <c r="C194" s="19">
        <v>0.25</v>
      </c>
      <c r="D194" s="20"/>
    </row>
    <row r="195" spans="2:6" ht="27.75" customHeight="1" x14ac:dyDescent="0.35">
      <c r="B195" s="18" t="s">
        <v>284</v>
      </c>
      <c r="C195" s="19">
        <v>0.25</v>
      </c>
      <c r="D195" s="20"/>
    </row>
    <row r="196" spans="2:6" ht="27.75" customHeight="1" x14ac:dyDescent="0.35">
      <c r="B196" s="21" t="s">
        <v>41</v>
      </c>
      <c r="C196" s="22">
        <f>SUM(C193:C195)</f>
        <v>1</v>
      </c>
      <c r="D196" s="23">
        <f>SUMPRODUCT(D193:D195,C193:C195)/SUM(C193:C195)</f>
        <v>0</v>
      </c>
    </row>
    <row r="197" spans="2:6" ht="27.75" customHeight="1" x14ac:dyDescent="0.35">
      <c r="B197" s="17" t="s">
        <v>7</v>
      </c>
      <c r="C197" s="17" t="s">
        <v>285</v>
      </c>
      <c r="D197" s="17" t="s">
        <v>286</v>
      </c>
      <c r="E197" s="17" t="s">
        <v>43</v>
      </c>
    </row>
    <row r="198" spans="2:6" ht="27.75" customHeight="1" x14ac:dyDescent="0.35">
      <c r="B198" s="24">
        <v>5</v>
      </c>
      <c r="C198" s="25" t="s">
        <v>14</v>
      </c>
      <c r="D198" s="33" t="s">
        <v>14</v>
      </c>
      <c r="E198" s="34" t="s">
        <v>287</v>
      </c>
      <c r="F198" s="12" t="s">
        <v>46</v>
      </c>
    </row>
    <row r="199" spans="2:6" ht="27.75" customHeight="1" x14ac:dyDescent="0.35">
      <c r="B199" s="24">
        <v>4</v>
      </c>
      <c r="C199" s="25" t="s">
        <v>14</v>
      </c>
      <c r="D199" s="33" t="s">
        <v>3</v>
      </c>
      <c r="E199" s="34" t="s">
        <v>288</v>
      </c>
      <c r="F199" s="12" t="s">
        <v>289</v>
      </c>
    </row>
    <row r="200" spans="2:6" ht="27.75" customHeight="1" x14ac:dyDescent="0.35">
      <c r="B200" s="27">
        <v>3</v>
      </c>
      <c r="C200" s="25" t="s">
        <v>3</v>
      </c>
      <c r="D200" s="33" t="s">
        <v>14</v>
      </c>
      <c r="E200" s="34" t="s">
        <v>290</v>
      </c>
      <c r="F200" s="12" t="s">
        <v>291</v>
      </c>
    </row>
    <row r="201" spans="2:6" ht="27.75" customHeight="1" x14ac:dyDescent="0.35">
      <c r="B201" s="28">
        <v>2</v>
      </c>
      <c r="C201" s="25" t="s">
        <v>3</v>
      </c>
      <c r="D201" s="33" t="s">
        <v>3</v>
      </c>
      <c r="E201" s="34" t="s">
        <v>292</v>
      </c>
      <c r="F201" s="12" t="s">
        <v>293</v>
      </c>
    </row>
    <row r="202" spans="2:6" ht="27.75" customHeight="1" x14ac:dyDescent="0.35">
      <c r="B202" s="28">
        <v>1</v>
      </c>
      <c r="C202" s="25" t="s">
        <v>3</v>
      </c>
      <c r="D202" s="33" t="s">
        <v>3</v>
      </c>
      <c r="E202" s="34" t="s">
        <v>294</v>
      </c>
      <c r="F202" s="12"/>
    </row>
    <row r="203" spans="2:6" ht="27.75" customHeight="1" x14ac:dyDescent="0.35">
      <c r="B203" s="17" t="s">
        <v>7</v>
      </c>
      <c r="C203" s="17" t="s">
        <v>295</v>
      </c>
      <c r="D203" s="17" t="s">
        <v>43</v>
      </c>
    </row>
    <row r="204" spans="2:6" ht="27.75" customHeight="1" x14ac:dyDescent="0.35">
      <c r="B204" s="24">
        <v>5</v>
      </c>
      <c r="C204" s="25" t="s">
        <v>296</v>
      </c>
      <c r="D204" s="26" t="s">
        <v>297</v>
      </c>
      <c r="E204" s="12" t="s">
        <v>46</v>
      </c>
      <c r="F204" s="12"/>
    </row>
    <row r="205" spans="2:6" ht="27.75" customHeight="1" x14ac:dyDescent="0.35">
      <c r="B205" s="24">
        <v>4</v>
      </c>
      <c r="C205" s="25" t="s">
        <v>298</v>
      </c>
      <c r="D205" s="26" t="s">
        <v>299</v>
      </c>
      <c r="E205" s="12"/>
      <c r="F205" s="12"/>
    </row>
    <row r="206" spans="2:6" ht="27.75" customHeight="1" x14ac:dyDescent="0.35">
      <c r="B206" s="27">
        <v>3</v>
      </c>
      <c r="C206" s="25" t="s">
        <v>300</v>
      </c>
      <c r="D206" s="26" t="s">
        <v>301</v>
      </c>
      <c r="E206" s="12"/>
      <c r="F206" s="12"/>
    </row>
    <row r="207" spans="2:6" ht="27.75" customHeight="1" x14ac:dyDescent="0.35">
      <c r="B207" s="28">
        <v>2</v>
      </c>
      <c r="C207" s="25" t="s">
        <v>302</v>
      </c>
      <c r="D207" s="26" t="s">
        <v>303</v>
      </c>
      <c r="E207" s="12"/>
      <c r="F207" s="12"/>
    </row>
    <row r="208" spans="2:6" ht="27.75" customHeight="1" x14ac:dyDescent="0.35">
      <c r="B208" s="28">
        <v>1</v>
      </c>
      <c r="C208" s="25" t="s">
        <v>304</v>
      </c>
      <c r="D208" s="26" t="s">
        <v>305</v>
      </c>
      <c r="E208" s="12"/>
      <c r="F208" s="12"/>
    </row>
    <row r="209" spans="2:6" ht="27.75" customHeight="1" x14ac:dyDescent="0.35">
      <c r="B209" s="17" t="s">
        <v>7</v>
      </c>
      <c r="C209" s="17" t="s">
        <v>306</v>
      </c>
      <c r="D209" s="17" t="s">
        <v>43</v>
      </c>
      <c r="E209" s="12"/>
      <c r="F209" s="12"/>
    </row>
    <row r="210" spans="2:6" ht="27.75" customHeight="1" x14ac:dyDescent="0.35">
      <c r="B210" s="24">
        <v>5</v>
      </c>
      <c r="C210" s="25" t="s">
        <v>307</v>
      </c>
      <c r="D210" s="26" t="s">
        <v>308</v>
      </c>
      <c r="E210" s="12" t="s">
        <v>46</v>
      </c>
      <c r="F210" s="12"/>
    </row>
    <row r="211" spans="2:6" ht="27.75" customHeight="1" x14ac:dyDescent="0.35">
      <c r="B211" s="24">
        <v>4</v>
      </c>
      <c r="C211" s="25" t="s">
        <v>309</v>
      </c>
      <c r="D211" s="26" t="s">
        <v>310</v>
      </c>
      <c r="E211" s="35" t="s">
        <v>311</v>
      </c>
      <c r="F211" s="12"/>
    </row>
    <row r="212" spans="2:6" ht="27.75" customHeight="1" x14ac:dyDescent="0.35">
      <c r="B212" s="27">
        <v>3</v>
      </c>
      <c r="C212" s="25" t="s">
        <v>312</v>
      </c>
      <c r="D212" s="26" t="s">
        <v>313</v>
      </c>
      <c r="E212" s="12"/>
      <c r="F212" s="12"/>
    </row>
    <row r="213" spans="2:6" ht="27.75" customHeight="1" x14ac:dyDescent="0.35">
      <c r="B213" s="28">
        <v>2</v>
      </c>
      <c r="C213" s="25" t="s">
        <v>314</v>
      </c>
      <c r="D213" s="26" t="s">
        <v>315</v>
      </c>
      <c r="E213" s="12"/>
      <c r="F213" s="12"/>
    </row>
    <row r="214" spans="2:6" ht="27.75" customHeight="1" x14ac:dyDescent="0.35">
      <c r="B214" s="28">
        <v>1</v>
      </c>
      <c r="C214" s="25" t="s">
        <v>316</v>
      </c>
      <c r="D214" s="26" t="s">
        <v>317</v>
      </c>
      <c r="E214" s="12"/>
      <c r="F214" s="12"/>
    </row>
    <row r="215" spans="2:6" ht="27.75" customHeight="1" x14ac:dyDescent="0.35">
      <c r="B215" s="14" t="s">
        <v>318</v>
      </c>
      <c r="C215" s="14"/>
      <c r="D215" s="14"/>
      <c r="E215" s="12"/>
      <c r="F215" s="12"/>
    </row>
    <row r="216" spans="2:6" ht="27.75" customHeight="1" x14ac:dyDescent="0.35">
      <c r="B216" s="17" t="s">
        <v>36</v>
      </c>
      <c r="C216" s="17" t="s">
        <v>37</v>
      </c>
      <c r="D216" s="17" t="s">
        <v>7</v>
      </c>
      <c r="E216" s="12"/>
      <c r="F216" s="12"/>
    </row>
    <row r="217" spans="2:6" ht="27.75" customHeight="1" x14ac:dyDescent="0.35">
      <c r="B217" s="18" t="s">
        <v>319</v>
      </c>
      <c r="C217" s="19">
        <v>0.7</v>
      </c>
      <c r="D217" s="20"/>
      <c r="E217" s="12"/>
      <c r="F217" s="12"/>
    </row>
    <row r="218" spans="2:6" ht="27.75" customHeight="1" x14ac:dyDescent="0.35">
      <c r="B218" s="18" t="s">
        <v>320</v>
      </c>
      <c r="C218" s="19">
        <v>0.3</v>
      </c>
      <c r="D218" s="20"/>
      <c r="E218" s="12"/>
      <c r="F218" s="12"/>
    </row>
    <row r="219" spans="2:6" ht="27.75" customHeight="1" x14ac:dyDescent="0.35">
      <c r="B219" s="21" t="s">
        <v>41</v>
      </c>
      <c r="C219" s="22">
        <f>SUM(C217:C218)</f>
        <v>1</v>
      </c>
      <c r="D219" s="23">
        <f>SUMPRODUCT(D217:D218,C217:C218)/SUM(C217:C218)</f>
        <v>0</v>
      </c>
      <c r="E219" s="12"/>
      <c r="F219" s="12"/>
    </row>
    <row r="220" spans="2:6" ht="27.75" customHeight="1" x14ac:dyDescent="0.35">
      <c r="B220" s="17" t="s">
        <v>7</v>
      </c>
      <c r="C220" s="17" t="s">
        <v>321</v>
      </c>
      <c r="D220" s="17" t="s">
        <v>43</v>
      </c>
      <c r="E220" s="12"/>
      <c r="F220" s="12"/>
    </row>
    <row r="221" spans="2:6" ht="27.75" customHeight="1" x14ac:dyDescent="0.35">
      <c r="B221" s="24">
        <v>5</v>
      </c>
      <c r="C221" s="25" t="s">
        <v>322</v>
      </c>
      <c r="D221" s="26" t="s">
        <v>323</v>
      </c>
      <c r="E221" s="12" t="s">
        <v>46</v>
      </c>
      <c r="F221" s="12"/>
    </row>
    <row r="222" spans="2:6" ht="27.75" customHeight="1" x14ac:dyDescent="0.35">
      <c r="B222" s="24">
        <v>4</v>
      </c>
      <c r="C222" s="25" t="s">
        <v>324</v>
      </c>
      <c r="D222" s="26" t="s">
        <v>325</v>
      </c>
      <c r="E222" s="12"/>
      <c r="F222" s="12"/>
    </row>
    <row r="223" spans="2:6" ht="27.75" customHeight="1" x14ac:dyDescent="0.35">
      <c r="B223" s="27">
        <v>3</v>
      </c>
      <c r="C223" s="25" t="s">
        <v>326</v>
      </c>
      <c r="D223" s="26" t="s">
        <v>327</v>
      </c>
      <c r="E223" s="12"/>
      <c r="F223" s="12"/>
    </row>
    <row r="224" spans="2:6" ht="27.75" customHeight="1" x14ac:dyDescent="0.35">
      <c r="B224" s="28">
        <v>2</v>
      </c>
      <c r="C224" s="25" t="s">
        <v>328</v>
      </c>
      <c r="D224" s="26" t="s">
        <v>329</v>
      </c>
      <c r="E224" s="12"/>
      <c r="F224" s="12"/>
    </row>
    <row r="225" spans="2:6" ht="27.75" customHeight="1" x14ac:dyDescent="0.35">
      <c r="B225" s="28">
        <v>1</v>
      </c>
      <c r="C225" s="25" t="s">
        <v>330</v>
      </c>
      <c r="D225" s="26" t="s">
        <v>331</v>
      </c>
      <c r="E225" s="12"/>
      <c r="F225" s="12"/>
    </row>
    <row r="226" spans="2:6" ht="27.75" customHeight="1" x14ac:dyDescent="0.35">
      <c r="B226" s="17" t="s">
        <v>7</v>
      </c>
      <c r="C226" s="17" t="s">
        <v>332</v>
      </c>
      <c r="D226" s="17" t="s">
        <v>43</v>
      </c>
      <c r="E226" s="12"/>
      <c r="F226" s="12"/>
    </row>
    <row r="227" spans="2:6" ht="27.75" customHeight="1" x14ac:dyDescent="0.35">
      <c r="B227" s="24">
        <v>5</v>
      </c>
      <c r="C227" s="25" t="s">
        <v>333</v>
      </c>
      <c r="D227" s="26" t="s">
        <v>334</v>
      </c>
      <c r="E227" s="12" t="s">
        <v>46</v>
      </c>
      <c r="F227" s="12"/>
    </row>
    <row r="228" spans="2:6" ht="27.75" customHeight="1" x14ac:dyDescent="0.35">
      <c r="B228" s="24">
        <v>4</v>
      </c>
      <c r="C228" s="25" t="s">
        <v>335</v>
      </c>
      <c r="D228" s="26" t="s">
        <v>336</v>
      </c>
      <c r="E228" s="12"/>
      <c r="F228" s="12"/>
    </row>
    <row r="229" spans="2:6" ht="27.75" customHeight="1" x14ac:dyDescent="0.35">
      <c r="B229" s="27">
        <v>3</v>
      </c>
      <c r="C229" s="25" t="s">
        <v>337</v>
      </c>
      <c r="D229" s="26" t="s">
        <v>338</v>
      </c>
      <c r="E229" s="12"/>
      <c r="F229" s="12"/>
    </row>
    <row r="230" spans="2:6" ht="27.75" customHeight="1" x14ac:dyDescent="0.35">
      <c r="B230" s="28">
        <v>2</v>
      </c>
      <c r="C230" s="25" t="s">
        <v>339</v>
      </c>
      <c r="D230" s="26" t="s">
        <v>340</v>
      </c>
      <c r="E230" s="12"/>
      <c r="F230" s="12"/>
    </row>
    <row r="231" spans="2:6" ht="27.75" customHeight="1" x14ac:dyDescent="0.35">
      <c r="B231" s="28">
        <v>1</v>
      </c>
      <c r="C231" s="25" t="s">
        <v>341</v>
      </c>
      <c r="D231" s="26" t="s">
        <v>342</v>
      </c>
      <c r="E231" s="12"/>
      <c r="F231" s="12"/>
    </row>
    <row r="232" spans="2:6" ht="27.75" customHeight="1" x14ac:dyDescent="0.35">
      <c r="B232" s="14" t="s">
        <v>343</v>
      </c>
      <c r="C232" s="29"/>
      <c r="D232" s="14"/>
      <c r="E232" s="12"/>
      <c r="F232" s="12"/>
    </row>
    <row r="233" spans="2:6" ht="27.75" customHeight="1" x14ac:dyDescent="0.35">
      <c r="B233" s="36" t="s">
        <v>7</v>
      </c>
      <c r="C233" s="36" t="s">
        <v>31</v>
      </c>
      <c r="D233" s="36" t="s">
        <v>43</v>
      </c>
      <c r="E233" s="12"/>
      <c r="F233" s="12"/>
    </row>
    <row r="234" spans="2:6" ht="27.75" customHeight="1" x14ac:dyDescent="0.35">
      <c r="B234" s="24">
        <v>5</v>
      </c>
      <c r="C234" s="25" t="s">
        <v>344</v>
      </c>
      <c r="D234" s="26" t="s">
        <v>345</v>
      </c>
      <c r="E234" s="12" t="s">
        <v>46</v>
      </c>
      <c r="F234" s="12"/>
    </row>
    <row r="235" spans="2:6" ht="27.75" customHeight="1" x14ac:dyDescent="0.35">
      <c r="B235" s="24">
        <v>4</v>
      </c>
      <c r="C235" s="25" t="s">
        <v>346</v>
      </c>
      <c r="D235" s="26" t="s">
        <v>347</v>
      </c>
      <c r="E235" s="12"/>
      <c r="F235" s="12"/>
    </row>
    <row r="236" spans="2:6" ht="27.75" customHeight="1" x14ac:dyDescent="0.35">
      <c r="B236" s="27">
        <v>3</v>
      </c>
      <c r="C236" s="25" t="s">
        <v>348</v>
      </c>
      <c r="D236" s="26" t="s">
        <v>349</v>
      </c>
      <c r="E236" s="12"/>
      <c r="F236" s="12"/>
    </row>
    <row r="237" spans="2:6" ht="27.75" customHeight="1" x14ac:dyDescent="0.35">
      <c r="B237" s="28">
        <v>2</v>
      </c>
      <c r="C237" s="25" t="s">
        <v>350</v>
      </c>
      <c r="D237" s="26" t="s">
        <v>351</v>
      </c>
      <c r="E237" s="12"/>
      <c r="F237" s="12"/>
    </row>
    <row r="238" spans="2:6" ht="27.75" customHeight="1" x14ac:dyDescent="0.35">
      <c r="B238" s="28">
        <v>1</v>
      </c>
      <c r="C238" s="25" t="s">
        <v>352</v>
      </c>
      <c r="D238" s="26" t="s">
        <v>353</v>
      </c>
      <c r="E238" s="12"/>
      <c r="F238" s="12"/>
    </row>
    <row r="239" spans="2:6" ht="27.75" customHeight="1" x14ac:dyDescent="0.35">
      <c r="B239" s="13" t="s">
        <v>354</v>
      </c>
      <c r="C239" s="13"/>
      <c r="D239" s="13"/>
      <c r="E239" s="12"/>
      <c r="F239" s="12"/>
    </row>
    <row r="240" spans="2:6" ht="27.75" customHeight="1" x14ac:dyDescent="0.35">
      <c r="B240" s="36" t="s">
        <v>355</v>
      </c>
      <c r="C240" s="17" t="s">
        <v>6</v>
      </c>
      <c r="D240" s="17" t="s">
        <v>7</v>
      </c>
      <c r="E240" s="12"/>
      <c r="F240" s="12"/>
    </row>
    <row r="241" spans="2:6" ht="27.75" customHeight="1" x14ac:dyDescent="0.35">
      <c r="B241" s="18" t="s">
        <v>32</v>
      </c>
      <c r="C241" s="19">
        <v>0.7</v>
      </c>
      <c r="D241" s="20"/>
      <c r="E241" s="12"/>
      <c r="F241" s="12"/>
    </row>
    <row r="242" spans="2:6" ht="27.75" customHeight="1" x14ac:dyDescent="0.35">
      <c r="B242" s="18" t="s">
        <v>33</v>
      </c>
      <c r="C242" s="19">
        <v>0.3</v>
      </c>
      <c r="D242" s="20"/>
      <c r="E242" s="12"/>
      <c r="F242" s="12"/>
    </row>
    <row r="243" spans="2:6" ht="27.75" customHeight="1" x14ac:dyDescent="0.35">
      <c r="B243" s="21" t="s">
        <v>41</v>
      </c>
      <c r="C243" s="22">
        <f>SUM(C241:C242)</f>
        <v>1</v>
      </c>
      <c r="D243" s="23">
        <f>SUMPRODUCT(D241:D242,C241:C242)/SUM(C241:C242)</f>
        <v>0</v>
      </c>
      <c r="E243" s="12"/>
      <c r="F243" s="12"/>
    </row>
    <row r="244" spans="2:6" ht="27.75" customHeight="1" x14ac:dyDescent="0.35">
      <c r="B244" s="17" t="s">
        <v>7</v>
      </c>
      <c r="C244" s="17" t="s">
        <v>356</v>
      </c>
      <c r="D244" s="17" t="s">
        <v>43</v>
      </c>
      <c r="E244" s="12"/>
      <c r="F244" s="12"/>
    </row>
    <row r="245" spans="2:6" ht="27.75" customHeight="1" x14ac:dyDescent="0.35">
      <c r="B245" s="24">
        <v>5</v>
      </c>
      <c r="C245" s="25" t="s">
        <v>357</v>
      </c>
      <c r="D245" s="26" t="s">
        <v>358</v>
      </c>
      <c r="E245" s="12" t="s">
        <v>46</v>
      </c>
      <c r="F245" s="12"/>
    </row>
    <row r="246" spans="2:6" ht="27.75" customHeight="1" x14ac:dyDescent="0.35">
      <c r="B246" s="24">
        <v>4</v>
      </c>
      <c r="C246" s="25" t="s">
        <v>359</v>
      </c>
      <c r="D246" s="26" t="s">
        <v>360</v>
      </c>
      <c r="E246" s="12"/>
      <c r="F246" s="12"/>
    </row>
    <row r="247" spans="2:6" ht="27.75" customHeight="1" x14ac:dyDescent="0.35">
      <c r="B247" s="27">
        <v>3</v>
      </c>
      <c r="C247" s="25" t="s">
        <v>361</v>
      </c>
      <c r="D247" s="26" t="s">
        <v>362</v>
      </c>
      <c r="E247" s="12"/>
      <c r="F247" s="12"/>
    </row>
    <row r="248" spans="2:6" ht="27.75" customHeight="1" x14ac:dyDescent="0.35">
      <c r="B248" s="28">
        <v>2</v>
      </c>
      <c r="C248" s="25" t="s">
        <v>363</v>
      </c>
      <c r="D248" s="26" t="s">
        <v>364</v>
      </c>
      <c r="E248" s="12"/>
      <c r="F248" s="12"/>
    </row>
    <row r="249" spans="2:6" ht="27.75" customHeight="1" x14ac:dyDescent="0.35">
      <c r="B249" s="28">
        <v>1</v>
      </c>
      <c r="C249" s="25" t="s">
        <v>365</v>
      </c>
      <c r="D249" s="26" t="s">
        <v>366</v>
      </c>
      <c r="E249" s="12"/>
      <c r="F249" s="12"/>
    </row>
    <row r="250" spans="2:6" ht="27.75" customHeight="1" x14ac:dyDescent="0.35">
      <c r="B250" s="17" t="s">
        <v>7</v>
      </c>
      <c r="C250" s="17" t="s">
        <v>33</v>
      </c>
      <c r="D250" s="17" t="s">
        <v>43</v>
      </c>
      <c r="E250" s="12"/>
      <c r="F250" s="12"/>
    </row>
    <row r="251" spans="2:6" ht="27.75" customHeight="1" x14ac:dyDescent="0.35">
      <c r="B251" s="24">
        <v>5</v>
      </c>
      <c r="C251" s="25" t="s">
        <v>367</v>
      </c>
      <c r="D251" s="26" t="s">
        <v>368</v>
      </c>
      <c r="E251" s="12" t="s">
        <v>46</v>
      </c>
      <c r="F251" s="12"/>
    </row>
    <row r="252" spans="2:6" ht="27.75" customHeight="1" x14ac:dyDescent="0.35">
      <c r="B252" s="24">
        <v>4</v>
      </c>
      <c r="C252" s="25" t="s">
        <v>369</v>
      </c>
      <c r="D252" s="26" t="s">
        <v>370</v>
      </c>
    </row>
    <row r="253" spans="2:6" ht="27.75" customHeight="1" x14ac:dyDescent="0.35">
      <c r="B253" s="27">
        <v>3</v>
      </c>
      <c r="C253" s="25" t="s">
        <v>371</v>
      </c>
      <c r="D253" s="26" t="s">
        <v>372</v>
      </c>
    </row>
    <row r="254" spans="2:6" ht="27.75" customHeight="1" x14ac:dyDescent="0.35">
      <c r="B254" s="28">
        <v>2</v>
      </c>
      <c r="C254" s="25" t="s">
        <v>373</v>
      </c>
      <c r="D254" s="26" t="s">
        <v>374</v>
      </c>
    </row>
    <row r="255" spans="2:6" ht="27.75" customHeight="1" x14ac:dyDescent="0.35">
      <c r="B255" s="28">
        <v>1</v>
      </c>
      <c r="C255" s="25" t="s">
        <v>375</v>
      </c>
      <c r="D255" s="26" t="s">
        <v>376</v>
      </c>
    </row>
    <row r="256" spans="2:6" ht="27.75" customHeight="1" x14ac:dyDescent="0.35"/>
    <row r="257" ht="27.75" customHeight="1" x14ac:dyDescent="0.35"/>
    <row r="258" ht="27.75" customHeight="1" x14ac:dyDescent="0.35"/>
    <row r="259" ht="27.75" customHeight="1" x14ac:dyDescent="0.35"/>
    <row r="260" ht="27.75" customHeight="1" x14ac:dyDescent="0.35"/>
    <row r="261" ht="27.75" customHeight="1" x14ac:dyDescent="0.35"/>
    <row r="262" ht="27.75" customHeight="1" x14ac:dyDescent="0.35"/>
    <row r="263" ht="27.75" customHeight="1" x14ac:dyDescent="0.35"/>
    <row r="264" ht="27.75" customHeight="1" x14ac:dyDescent="0.35"/>
    <row r="265" ht="27.75" customHeight="1" x14ac:dyDescent="0.35"/>
    <row r="266" ht="27.75" customHeight="1" x14ac:dyDescent="0.35"/>
    <row r="267" ht="27.75" customHeight="1" x14ac:dyDescent="0.35"/>
    <row r="268" ht="27.75" customHeight="1" x14ac:dyDescent="0.35"/>
    <row r="269" ht="27.75" customHeight="1" x14ac:dyDescent="0.35"/>
    <row r="270" ht="27.75" customHeight="1" x14ac:dyDescent="0.35"/>
    <row r="271" ht="27.75" customHeight="1" x14ac:dyDescent="0.35"/>
    <row r="272" ht="27.75" customHeight="1" x14ac:dyDescent="0.35"/>
    <row r="273" ht="27.75" customHeight="1" x14ac:dyDescent="0.35"/>
    <row r="274" ht="27.75" customHeight="1" x14ac:dyDescent="0.35"/>
    <row r="275" ht="27.75" customHeight="1" x14ac:dyDescent="0.35"/>
    <row r="276" ht="27.75" customHeight="1" x14ac:dyDescent="0.35"/>
    <row r="277" ht="27.75" customHeight="1" x14ac:dyDescent="0.35"/>
    <row r="278" ht="27.75" customHeight="1" x14ac:dyDescent="0.35"/>
    <row r="279" ht="27.75" customHeight="1" x14ac:dyDescent="0.35"/>
    <row r="280" ht="27.75" customHeight="1" x14ac:dyDescent="0.35"/>
    <row r="281" ht="27.75" customHeight="1" x14ac:dyDescent="0.35"/>
    <row r="282" ht="27.75" customHeight="1" x14ac:dyDescent="0.35"/>
    <row r="283" ht="27.75" customHeight="1" x14ac:dyDescent="0.35"/>
    <row r="284" ht="27.75" customHeight="1" x14ac:dyDescent="0.35"/>
    <row r="285" ht="27.75" customHeight="1" x14ac:dyDescent="0.35"/>
    <row r="286" ht="27.75" customHeight="1" x14ac:dyDescent="0.35"/>
    <row r="287" ht="27.75" customHeight="1" x14ac:dyDescent="0.35"/>
    <row r="288" ht="27.75" customHeight="1" x14ac:dyDescent="0.35"/>
    <row r="289" ht="27.75" customHeight="1" x14ac:dyDescent="0.35"/>
    <row r="290" ht="27.75" customHeight="1" x14ac:dyDescent="0.35"/>
    <row r="291" ht="27.75" customHeight="1" x14ac:dyDescent="0.35"/>
    <row r="292" ht="27.75" customHeight="1" x14ac:dyDescent="0.35"/>
    <row r="293" ht="27.75" customHeight="1" x14ac:dyDescent="0.35"/>
    <row r="294" ht="27.75" customHeight="1" x14ac:dyDescent="0.35"/>
    <row r="295" ht="27.75" customHeight="1" x14ac:dyDescent="0.3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 Score Scorecard</vt:lpstr>
      <vt:lpstr>Anchors and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Divya Moondra</cp:lastModifiedBy>
  <cp:revision>0</cp:revision>
  <dcterms:created xsi:type="dcterms:W3CDTF">2026-01-14T12:06:17Z</dcterms:created>
  <dcterms:modified xsi:type="dcterms:W3CDTF">2026-05-19T13:55:36Z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0x0101009EFA2F2A54220C47957FA428D2BB0D59</vt:lpwstr>
  </property>
  <property fmtid="{D5CDD505-2E9C-101B-9397-08002B2CF9AE}" pid="3" name="MediaServiceImageTags">
    <vt:lpwstr/>
  </property>
</Properties>
</file>